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88a55a2aa31471fb/Desktop/4460 MIS/Final Project/"/>
    </mc:Choice>
  </mc:AlternateContent>
  <xr:revisionPtr revIDLastSave="0" documentId="8_{EB1910FD-E66B-4C7B-96B7-9165FB3DC088}" xr6:coauthVersionLast="47" xr6:coauthVersionMax="47" xr10:uidLastSave="{00000000-0000-0000-0000-000000000000}"/>
  <bookViews>
    <workbookView minimized="1" xWindow="4330" yWindow="0" windowWidth="14960" windowHeight="11370" tabRatio="845" firstSheet="21" activeTab="23" xr2:uid="{EF74E910-EA81-4E05-B351-28CF2CD8D020}"/>
  </bookViews>
  <sheets>
    <sheet name="CWS 2024 Batting" sheetId="2" state="hidden" r:id="rId1"/>
    <sheet name="CWS 2024 Pitching" sheetId="4" state="hidden" r:id="rId2"/>
    <sheet name="CWS Salary 2024" sheetId="22" state="hidden" r:id="rId3"/>
    <sheet name="CLE 2024 Batting" sheetId="8" state="hidden" r:id="rId4"/>
    <sheet name="CLE 2024 Pitching" sheetId="9" state="hidden" r:id="rId5"/>
    <sheet name="CLE Salary 2024" sheetId="23" state="hidden" r:id="rId6"/>
    <sheet name="DET 2024 Batting" sheetId="12" state="hidden" r:id="rId7"/>
    <sheet name="DET 2024 Pitching" sheetId="13" state="hidden" r:id="rId8"/>
    <sheet name="DET Salary 2024" sheetId="24" state="hidden" r:id="rId9"/>
    <sheet name="KC 2024 Batting" sheetId="17" state="hidden" r:id="rId10"/>
    <sheet name="KC 2024 Pitching" sheetId="18" state="hidden" r:id="rId11"/>
    <sheet name="KC Salary 2024" sheetId="25" state="hidden" r:id="rId12"/>
    <sheet name="MIN 2024 Batting" sheetId="21" state="hidden" r:id="rId13"/>
    <sheet name="MIN 2024 Pitching" sheetId="26" state="hidden" r:id="rId14"/>
    <sheet name="MIN Salary 2024" sheetId="27" state="hidden" r:id="rId15"/>
    <sheet name="AL Central Payroll" sheetId="28" r:id="rId16"/>
    <sheet name="PositionPlayer Dash" sheetId="32" r:id="rId17"/>
    <sheet name="PitcherDash" sheetId="33" r:id="rId18"/>
    <sheet name="Team Comparison $WAR" sheetId="35" r:id="rId19"/>
    <sheet name="PP vs P War" sheetId="36" r:id="rId20"/>
    <sheet name="PositionPlayer Data" sheetId="29" r:id="rId21"/>
    <sheet name="Pitcher Data" sheetId="30" r:id="rId22"/>
    <sheet name="TeamData" sheetId="38" r:id="rId23"/>
    <sheet name="Budget Optimizer" sheetId="37" r:id="rId24"/>
    <sheet name="Optimization Results" sheetId="39" r:id="rId25"/>
    <sheet name="OptimizationChart" sheetId="40" r:id="rId26"/>
    <sheet name="OptimizationPie" sheetId="41" r:id="rId27"/>
  </sheets>
  <definedNames>
    <definedName name="MinPitchWAR">'Budget Optimizer'!$B$4</definedName>
    <definedName name="MinPosWAR">'Budget Optimizer'!$A$5</definedName>
    <definedName name="PitcherBudget">'Budget Optimizer'!$B$18</definedName>
    <definedName name="PositionBudget">'Budget Optimizer'!$B$19</definedName>
    <definedName name="solver_adj" localSheetId="23" hidden="1">'Budget Optimizer'!$B$18</definedName>
    <definedName name="solver_cvg" localSheetId="23" hidden="1">0.0001</definedName>
    <definedName name="solver_drv" localSheetId="23" hidden="1">1</definedName>
    <definedName name="solver_eng" localSheetId="23" hidden="1">1</definedName>
    <definedName name="solver_est" localSheetId="23" hidden="1">1</definedName>
    <definedName name="solver_itr" localSheetId="23" hidden="1">2147483647</definedName>
    <definedName name="solver_lhs1" localSheetId="23" hidden="1">'Budget Optimizer'!$B$18</definedName>
    <definedName name="solver_lhs2" localSheetId="23" hidden="1">'Budget Optimizer'!$B$23</definedName>
    <definedName name="solver_lhs3" localSheetId="23" hidden="1">'Budget Optimizer'!$B$23</definedName>
    <definedName name="solver_lhs4" localSheetId="23" hidden="1">'Budget Optimizer'!$B$22</definedName>
    <definedName name="solver_lhs5" localSheetId="23" hidden="1">'Budget Optimizer'!$B$18</definedName>
    <definedName name="solver_lhs6" localSheetId="23" hidden="1">'Budget Optimizer'!$B$19</definedName>
    <definedName name="solver_mip" localSheetId="23" hidden="1">2147483647</definedName>
    <definedName name="solver_mni" localSheetId="23" hidden="1">30</definedName>
    <definedName name="solver_mrt" localSheetId="23" hidden="1">0.075</definedName>
    <definedName name="solver_msl" localSheetId="23" hidden="1">2</definedName>
    <definedName name="solver_neg" localSheetId="23" hidden="1">1</definedName>
    <definedName name="solver_nod" localSheetId="23" hidden="1">2147483647</definedName>
    <definedName name="solver_num" localSheetId="23" hidden="1">5</definedName>
    <definedName name="solver_nwt" localSheetId="23" hidden="1">1</definedName>
    <definedName name="solver_opt" localSheetId="23" hidden="1">'Budget Optimizer'!$B$24</definedName>
    <definedName name="solver_pre" localSheetId="23" hidden="1">0.000001</definedName>
    <definedName name="solver_rbv" localSheetId="23" hidden="1">1</definedName>
    <definedName name="solver_rel1" localSheetId="23" hidden="1">3</definedName>
    <definedName name="solver_rel2" localSheetId="23" hidden="1">3</definedName>
    <definedName name="solver_rel3" localSheetId="23" hidden="1">3</definedName>
    <definedName name="solver_rel4" localSheetId="23" hidden="1">3</definedName>
    <definedName name="solver_rel5" localSheetId="23" hidden="1">1</definedName>
    <definedName name="solver_rel6" localSheetId="23" hidden="1">3</definedName>
    <definedName name="solver_rhs1" localSheetId="23" hidden="1">0</definedName>
    <definedName name="solver_rhs2" localSheetId="23" hidden="1">'Budget Optimizer'!$B$5</definedName>
    <definedName name="solver_rhs3" localSheetId="23" hidden="1">'Budget Optimizer'!$B$5</definedName>
    <definedName name="solver_rhs4" localSheetId="23" hidden="1">MinPitchWAR</definedName>
    <definedName name="solver_rhs5" localSheetId="23" hidden="1">TotBudget</definedName>
    <definedName name="solver_rhs6" localSheetId="23" hidden="1">0</definedName>
    <definedName name="solver_rlx" localSheetId="23" hidden="1">2</definedName>
    <definedName name="solver_rsd" localSheetId="23" hidden="1">0</definedName>
    <definedName name="solver_scl" localSheetId="23" hidden="1">1</definedName>
    <definedName name="solver_sho" localSheetId="23" hidden="1">2</definedName>
    <definedName name="solver_ssz" localSheetId="23" hidden="1">100</definedName>
    <definedName name="solver_tim" localSheetId="23" hidden="1">2147483647</definedName>
    <definedName name="solver_tol" localSheetId="23" hidden="1">0.01</definedName>
    <definedName name="solver_typ" localSheetId="23" hidden="1">1</definedName>
    <definedName name="solver_val" localSheetId="23" hidden="1">0</definedName>
    <definedName name="solver_ver" localSheetId="23" hidden="1">3</definedName>
    <definedName name="TotalWAR">'Budget Optimizer'!$B$24</definedName>
    <definedName name="TotBudget">'Budget Optimizer'!$B$3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7" i="39" l="1"/>
  <c r="E6" i="39"/>
  <c r="E7" i="39"/>
  <c r="D6" i="39"/>
  <c r="E5" i="39"/>
  <c r="D5" i="39"/>
  <c r="E4" i="39"/>
  <c r="D4" i="39"/>
  <c r="E3" i="39"/>
  <c r="D3" i="39"/>
  <c r="B14" i="37"/>
  <c r="B13" i="37"/>
  <c r="B12" i="37"/>
  <c r="B11" i="37"/>
  <c r="B9" i="37"/>
  <c r="B8" i="37"/>
  <c r="C6" i="38"/>
  <c r="C5" i="38"/>
  <c r="C4" i="38"/>
  <c r="C3" i="38"/>
  <c r="C2" i="38"/>
  <c r="B6" i="38"/>
  <c r="B5" i="38"/>
  <c r="B4" i="38"/>
  <c r="B3" i="38"/>
  <c r="B2" i="38"/>
  <c r="B3" i="37" l="1"/>
  <c r="B19" i="37" s="1"/>
  <c r="B23" i="37" s="1"/>
  <c r="B22" i="37"/>
  <c r="B15" i="37"/>
  <c r="B24" i="37" l="1"/>
  <c r="I136" i="29" l="1"/>
  <c r="I135" i="29"/>
  <c r="I134" i="29"/>
  <c r="I133" i="29"/>
  <c r="I132" i="29"/>
  <c r="H136" i="29"/>
  <c r="H135" i="29"/>
  <c r="H134" i="29"/>
  <c r="H133" i="29"/>
  <c r="H132" i="29"/>
  <c r="G136" i="29"/>
  <c r="G135" i="29"/>
  <c r="G134" i="29"/>
  <c r="G133" i="29"/>
  <c r="G132" i="29"/>
  <c r="F136" i="29"/>
  <c r="F135" i="29"/>
  <c r="F134" i="29"/>
  <c r="F133" i="29"/>
  <c r="F132" i="29"/>
  <c r="E136" i="29"/>
  <c r="E135" i="29"/>
  <c r="E134" i="29"/>
  <c r="E133" i="29"/>
  <c r="E132" i="29"/>
  <c r="AW14" i="30"/>
  <c r="AX14" i="30" s="1"/>
  <c r="AW12" i="30"/>
  <c r="AX12" i="30" s="1"/>
  <c r="AW11" i="30"/>
  <c r="AW10" i="30"/>
  <c r="AW3" i="30"/>
  <c r="AX3" i="30" s="1"/>
  <c r="AV14" i="30"/>
  <c r="AV12" i="30"/>
  <c r="AV11" i="30"/>
  <c r="AV10" i="30"/>
  <c r="AV3" i="30"/>
  <c r="D136" i="29"/>
  <c r="C125" i="29"/>
  <c r="D135" i="29"/>
  <c r="C124" i="29"/>
  <c r="D134" i="29"/>
  <c r="C123" i="29"/>
  <c r="D133" i="29"/>
  <c r="C122" i="29"/>
  <c r="D132" i="29"/>
  <c r="C121" i="29"/>
  <c r="C136" i="29"/>
  <c r="B125" i="29"/>
  <c r="C135" i="29"/>
  <c r="C134" i="29"/>
  <c r="B123" i="29"/>
  <c r="C133" i="29"/>
  <c r="C132" i="29"/>
  <c r="B121" i="29"/>
  <c r="AX10" i="30"/>
  <c r="B124" i="29"/>
  <c r="B122" i="29"/>
  <c r="AX11" i="30" l="1"/>
  <c r="AO157" i="30"/>
  <c r="AL99" i="29"/>
  <c r="AL26" i="29"/>
  <c r="AL54" i="29"/>
  <c r="AL76" i="29"/>
  <c r="AL77" i="29"/>
  <c r="AL78" i="29"/>
  <c r="AK25" i="29"/>
  <c r="AK27" i="29"/>
  <c r="AK28" i="29"/>
  <c r="AK29" i="29"/>
  <c r="AM29" i="29" s="1"/>
  <c r="AK30" i="29"/>
  <c r="AL30" i="29" s="1"/>
  <c r="AK53" i="29"/>
  <c r="AL53" i="29" s="1"/>
  <c r="AK54" i="29"/>
  <c r="AK55" i="29"/>
  <c r="AL55" i="29" s="1"/>
  <c r="AK56" i="29"/>
  <c r="AL56" i="29" s="1"/>
  <c r="AK57" i="29"/>
  <c r="AM57" i="29" s="1"/>
  <c r="AK58" i="29"/>
  <c r="AM58" i="29" s="1"/>
  <c r="AK59" i="29"/>
  <c r="AL59" i="29" s="1"/>
  <c r="AK60" i="29"/>
  <c r="AL60" i="29" s="1"/>
  <c r="AK61" i="29"/>
  <c r="AM61" i="29" s="1"/>
  <c r="AK62" i="29"/>
  <c r="AM62" i="29" s="1"/>
  <c r="AK63" i="29"/>
  <c r="AM63" i="29" s="1"/>
  <c r="AK64" i="29"/>
  <c r="AL64" i="29" s="1"/>
  <c r="AK65" i="29"/>
  <c r="AM65" i="29" s="1"/>
  <c r="AK66" i="29"/>
  <c r="AM66" i="29" s="1"/>
  <c r="AK67" i="29"/>
  <c r="AL67" i="29" s="1"/>
  <c r="AK68" i="29"/>
  <c r="AL68" i="29" s="1"/>
  <c r="AK69" i="29"/>
  <c r="AK70" i="29"/>
  <c r="AK71" i="29"/>
  <c r="AK72" i="29"/>
  <c r="AL72" i="29" s="1"/>
  <c r="AK73" i="29"/>
  <c r="AM73" i="29" s="1"/>
  <c r="AK74" i="29"/>
  <c r="AM74" i="29" s="1"/>
  <c r="AK52" i="29"/>
  <c r="AK32" i="29"/>
  <c r="AL32" i="29" s="1"/>
  <c r="AL33" i="29"/>
  <c r="AK34" i="29"/>
  <c r="AL34" i="29" s="1"/>
  <c r="AL35" i="29"/>
  <c r="AK36" i="29"/>
  <c r="AM36" i="29" s="1"/>
  <c r="AK37" i="29"/>
  <c r="AL37" i="29" s="1"/>
  <c r="AK38" i="29"/>
  <c r="AL38" i="29" s="1"/>
  <c r="AK39" i="29"/>
  <c r="AL39" i="29" s="1"/>
  <c r="AK40" i="29"/>
  <c r="AM40" i="29" s="1"/>
  <c r="AK41" i="29"/>
  <c r="AM41" i="29" s="1"/>
  <c r="AK42" i="29"/>
  <c r="AL42" i="29" s="1"/>
  <c r="AK43" i="29"/>
  <c r="AM43" i="29" s="1"/>
  <c r="AK44" i="29"/>
  <c r="AM44" i="29" s="1"/>
  <c r="AK45" i="29"/>
  <c r="AL45" i="29" s="1"/>
  <c r="AK46" i="29"/>
  <c r="AL46" i="29" s="1"/>
  <c r="AK47" i="29"/>
  <c r="AL47" i="29" s="1"/>
  <c r="AK48" i="29"/>
  <c r="AK49" i="29"/>
  <c r="AL49" i="29" s="1"/>
  <c r="AK50" i="29"/>
  <c r="AL50" i="29" s="1"/>
  <c r="AK51" i="29"/>
  <c r="AL51" i="29" s="1"/>
  <c r="AK31" i="29"/>
  <c r="AK3" i="29"/>
  <c r="AK4" i="29"/>
  <c r="AM4" i="29" s="1"/>
  <c r="AK5" i="29"/>
  <c r="AM5" i="29" s="1"/>
  <c r="AK6" i="29"/>
  <c r="AL6" i="29" s="1"/>
  <c r="AK7" i="29"/>
  <c r="AL7" i="29" s="1"/>
  <c r="AK8" i="29"/>
  <c r="AM8" i="29" s="1"/>
  <c r="AK9" i="29"/>
  <c r="AM9" i="29" s="1"/>
  <c r="AK10" i="29"/>
  <c r="AM10" i="29" s="1"/>
  <c r="AK11" i="29"/>
  <c r="AL11" i="29" s="1"/>
  <c r="AK12" i="29"/>
  <c r="AL12" i="29" s="1"/>
  <c r="AK13" i="29"/>
  <c r="AL13" i="29" s="1"/>
  <c r="AK14" i="29"/>
  <c r="AL14" i="29" s="1"/>
  <c r="AK15" i="29"/>
  <c r="AL15" i="29" s="1"/>
  <c r="AK16" i="29"/>
  <c r="AL16" i="29" s="1"/>
  <c r="AK17" i="29"/>
  <c r="AL17" i="29" s="1"/>
  <c r="AK18" i="29"/>
  <c r="AM18" i="29" s="1"/>
  <c r="AK19" i="29"/>
  <c r="AK20" i="29"/>
  <c r="AL20" i="29" s="1"/>
  <c r="AK21" i="29"/>
  <c r="AK22" i="29"/>
  <c r="AK23" i="29"/>
  <c r="AL23" i="29" s="1"/>
  <c r="AK24" i="29"/>
  <c r="AL24" i="29" s="1"/>
  <c r="AM30" i="29"/>
  <c r="AK2" i="29"/>
  <c r="AL97" i="29"/>
  <c r="AK98" i="29"/>
  <c r="AL98" i="29" s="1"/>
  <c r="AM99" i="29"/>
  <c r="AK100" i="29"/>
  <c r="AM100" i="29" s="1"/>
  <c r="AK101" i="29"/>
  <c r="AM101" i="29" s="1"/>
  <c r="AK102" i="29"/>
  <c r="AL102" i="29" s="1"/>
  <c r="AK103" i="29"/>
  <c r="AL103" i="29" s="1"/>
  <c r="AK104" i="29"/>
  <c r="AM104" i="29" s="1"/>
  <c r="AM105" i="29"/>
  <c r="AK106" i="29"/>
  <c r="AM106" i="29" s="1"/>
  <c r="AK107" i="29"/>
  <c r="AM107" i="29" s="1"/>
  <c r="AK108" i="29"/>
  <c r="AL108" i="29" s="1"/>
  <c r="AK109" i="29"/>
  <c r="AM109" i="29" s="1"/>
  <c r="AK110" i="29"/>
  <c r="AM110" i="29" s="1"/>
  <c r="AK111" i="29"/>
  <c r="AK112" i="29"/>
  <c r="AK113" i="29"/>
  <c r="AK114" i="29"/>
  <c r="AL114" i="29" s="1"/>
  <c r="AK115" i="29"/>
  <c r="AL115" i="29" s="1"/>
  <c r="AK116" i="29"/>
  <c r="AL116" i="29" s="1"/>
  <c r="AK96" i="29"/>
  <c r="AK76" i="29"/>
  <c r="AK77" i="29"/>
  <c r="AK79" i="29"/>
  <c r="AM79" i="29" s="1"/>
  <c r="AK80" i="29"/>
  <c r="AL80" i="29" s="1"/>
  <c r="AK81" i="29"/>
  <c r="AL81" i="29" s="1"/>
  <c r="AK82" i="29"/>
  <c r="AL82" i="29" s="1"/>
  <c r="AK83" i="29"/>
  <c r="AM83" i="29" s="1"/>
  <c r="AK84" i="29"/>
  <c r="AM84" i="29" s="1"/>
  <c r="AK85" i="29"/>
  <c r="AM85" i="29" s="1"/>
  <c r="AK86" i="29"/>
  <c r="AL86" i="29" s="1"/>
  <c r="AK87" i="29"/>
  <c r="AM87" i="29" s="1"/>
  <c r="AK88" i="29"/>
  <c r="AM88" i="29" s="1"/>
  <c r="AK89" i="29"/>
  <c r="AM89" i="29" s="1"/>
  <c r="AK90" i="29"/>
  <c r="AM90" i="29" s="1"/>
  <c r="AK91" i="29"/>
  <c r="AM91" i="29" s="1"/>
  <c r="AK92" i="29"/>
  <c r="AK93" i="29"/>
  <c r="AK94" i="29"/>
  <c r="AM94" i="29" s="1"/>
  <c r="AK95" i="29"/>
  <c r="AM95" i="29" s="1"/>
  <c r="AK75" i="29"/>
  <c r="AK3" i="17"/>
  <c r="AK4" i="17"/>
  <c r="AK6" i="17"/>
  <c r="AK7" i="17"/>
  <c r="AK8" i="17"/>
  <c r="AK9" i="17"/>
  <c r="AK10" i="17"/>
  <c r="AK11" i="17"/>
  <c r="AK12" i="17"/>
  <c r="AK13" i="17"/>
  <c r="AK14" i="17"/>
  <c r="AK15" i="17"/>
  <c r="AK16" i="17"/>
  <c r="AK17" i="17"/>
  <c r="AK18" i="17"/>
  <c r="AK19" i="17"/>
  <c r="AK20" i="17"/>
  <c r="AK21" i="17"/>
  <c r="AK22" i="17"/>
  <c r="AK23" i="17"/>
  <c r="AK24" i="17"/>
  <c r="AK25" i="17"/>
  <c r="AM26" i="29"/>
  <c r="AN100" i="30"/>
  <c r="AO100" i="30" s="1"/>
  <c r="AN101" i="30"/>
  <c r="AO101" i="30" s="1"/>
  <c r="AN102" i="30"/>
  <c r="AO102" i="30" s="1"/>
  <c r="AN103" i="30"/>
  <c r="AO103" i="30" s="1"/>
  <c r="AN104" i="30"/>
  <c r="AO104" i="30" s="1"/>
  <c r="AN105" i="30"/>
  <c r="AO105" i="30" s="1"/>
  <c r="AN106" i="30"/>
  <c r="AO106" i="30" s="1"/>
  <c r="AN107" i="30"/>
  <c r="AO107" i="30" s="1"/>
  <c r="AN108" i="30"/>
  <c r="AO108" i="30" s="1"/>
  <c r="AN109" i="30"/>
  <c r="AO109" i="30" s="1"/>
  <c r="AN110" i="30"/>
  <c r="AO110" i="30" s="1"/>
  <c r="AN111" i="30"/>
  <c r="AO111" i="30" s="1"/>
  <c r="AN112" i="30"/>
  <c r="AO112" i="30" s="1"/>
  <c r="AN113" i="30"/>
  <c r="AO113" i="30" s="1"/>
  <c r="AN114" i="30"/>
  <c r="AO114" i="30" s="1"/>
  <c r="AN115" i="30"/>
  <c r="AO115" i="30" s="1"/>
  <c r="AN116" i="30"/>
  <c r="AO116" i="30" s="1"/>
  <c r="AN117" i="30"/>
  <c r="AO117" i="30" s="1"/>
  <c r="AN118" i="30"/>
  <c r="AO118" i="30" s="1"/>
  <c r="AN119" i="30"/>
  <c r="AO119" i="30" s="1"/>
  <c r="AN120" i="30"/>
  <c r="AO120" i="30" s="1"/>
  <c r="AN121" i="30"/>
  <c r="AO121" i="30" s="1"/>
  <c r="AN122" i="30"/>
  <c r="AO122" i="30" s="1"/>
  <c r="AN123" i="30"/>
  <c r="AO123" i="30" s="1"/>
  <c r="AN3" i="30"/>
  <c r="AO3" i="30" s="1"/>
  <c r="AN4" i="30"/>
  <c r="AO4" i="30" s="1"/>
  <c r="AN5" i="30"/>
  <c r="AO5" i="30" s="1"/>
  <c r="AN6" i="30"/>
  <c r="AO6" i="30" s="1"/>
  <c r="AN7" i="30"/>
  <c r="AO7" i="30" s="1"/>
  <c r="AN8" i="30"/>
  <c r="AO8" i="30" s="1"/>
  <c r="AN9" i="30"/>
  <c r="AO9" i="30" s="1"/>
  <c r="AN10" i="30"/>
  <c r="AO10" i="30" s="1"/>
  <c r="AN11" i="30"/>
  <c r="AO11" i="30" s="1"/>
  <c r="AN12" i="30"/>
  <c r="AO12" i="30" s="1"/>
  <c r="AN13" i="30"/>
  <c r="AO13" i="30" s="1"/>
  <c r="AN14" i="30"/>
  <c r="AO14" i="30" s="1"/>
  <c r="AN15" i="30"/>
  <c r="AO15" i="30" s="1"/>
  <c r="AN16" i="30"/>
  <c r="AO16" i="30" s="1"/>
  <c r="AN17" i="30"/>
  <c r="AO17" i="30" s="1"/>
  <c r="AN18" i="30"/>
  <c r="AO18" i="30" s="1"/>
  <c r="AN19" i="30"/>
  <c r="AO19" i="30" s="1"/>
  <c r="AN20" i="30"/>
  <c r="AO20" i="30" s="1"/>
  <c r="AN21" i="30"/>
  <c r="AO21" i="30" s="1"/>
  <c r="AN22" i="30"/>
  <c r="AO22" i="30" s="1"/>
  <c r="AN23" i="30"/>
  <c r="AO23" i="30" s="1"/>
  <c r="AN24" i="30"/>
  <c r="AO24" i="30" s="1"/>
  <c r="AN25" i="30"/>
  <c r="AO25" i="30" s="1"/>
  <c r="AN26" i="30"/>
  <c r="AO26" i="30" s="1"/>
  <c r="AN27" i="30"/>
  <c r="AO27" i="30" s="1"/>
  <c r="AN28" i="30"/>
  <c r="AO28" i="30" s="1"/>
  <c r="AN29" i="30"/>
  <c r="AO29" i="30" s="1"/>
  <c r="AN30" i="30"/>
  <c r="AO30" i="30" s="1"/>
  <c r="AN31" i="30"/>
  <c r="AO31" i="30" s="1"/>
  <c r="AN32" i="30"/>
  <c r="AO32" i="30" s="1"/>
  <c r="AN33" i="30"/>
  <c r="AO33" i="30" s="1"/>
  <c r="AN34" i="30"/>
  <c r="AO34" i="30" s="1"/>
  <c r="AN35" i="30"/>
  <c r="AO35" i="30" s="1"/>
  <c r="AN36" i="30"/>
  <c r="AO36" i="30" s="1"/>
  <c r="AN2" i="30"/>
  <c r="AO2" i="30" s="1"/>
  <c r="AN157" i="30"/>
  <c r="AN155" i="30"/>
  <c r="AO155" i="30" s="1"/>
  <c r="AN154" i="30"/>
  <c r="AO154" i="30" s="1"/>
  <c r="AN153" i="30"/>
  <c r="AO153" i="30" s="1"/>
  <c r="AN152" i="30"/>
  <c r="AO152" i="30" s="1"/>
  <c r="AN151" i="30"/>
  <c r="AO151" i="30" s="1"/>
  <c r="AN150" i="30"/>
  <c r="AO150" i="30" s="1"/>
  <c r="AN149" i="30"/>
  <c r="AO149" i="30" s="1"/>
  <c r="AN148" i="30"/>
  <c r="AO148" i="30" s="1"/>
  <c r="AN147" i="30"/>
  <c r="AO147" i="30" s="1"/>
  <c r="AN146" i="30"/>
  <c r="AO146" i="30" s="1"/>
  <c r="AN145" i="30"/>
  <c r="AO145" i="30" s="1"/>
  <c r="AN144" i="30"/>
  <c r="AO144" i="30" s="1"/>
  <c r="AN143" i="30"/>
  <c r="AO143" i="30" s="1"/>
  <c r="AN142" i="30"/>
  <c r="AO142" i="30" s="1"/>
  <c r="AN141" i="30"/>
  <c r="AO141" i="30" s="1"/>
  <c r="AN140" i="30"/>
  <c r="AO140" i="30" s="1"/>
  <c r="AN139" i="30"/>
  <c r="AO139" i="30" s="1"/>
  <c r="AN138" i="30"/>
  <c r="AO138" i="30" s="1"/>
  <c r="AN137" i="30"/>
  <c r="AO137" i="30" s="1"/>
  <c r="AN136" i="30"/>
  <c r="AO136" i="30" s="1"/>
  <c r="AN135" i="30"/>
  <c r="AO135" i="30" s="1"/>
  <c r="AN134" i="30"/>
  <c r="AO134" i="30" s="1"/>
  <c r="AN133" i="30"/>
  <c r="AO133" i="30" s="1"/>
  <c r="AN132" i="30"/>
  <c r="AO132" i="30" s="1"/>
  <c r="AN131" i="30"/>
  <c r="AO131" i="30" s="1"/>
  <c r="AN130" i="30"/>
  <c r="AO130" i="30" s="1"/>
  <c r="AN129" i="30"/>
  <c r="AO129" i="30" s="1"/>
  <c r="AN128" i="30"/>
  <c r="AO128" i="30" s="1"/>
  <c r="AN127" i="30"/>
  <c r="AO127" i="30" s="1"/>
  <c r="AN126" i="30"/>
  <c r="AO126" i="30" s="1"/>
  <c r="AN125" i="30"/>
  <c r="AO125" i="30" s="1"/>
  <c r="AN124" i="30"/>
  <c r="AO124" i="30" s="1"/>
  <c r="AN3" i="26"/>
  <c r="AN4" i="26"/>
  <c r="AN5" i="26"/>
  <c r="AN6" i="26"/>
  <c r="AN7" i="26"/>
  <c r="AN8" i="26"/>
  <c r="AN9" i="26"/>
  <c r="AN10" i="26"/>
  <c r="AN11" i="26"/>
  <c r="AN12" i="26"/>
  <c r="AN13" i="26"/>
  <c r="AN14" i="26"/>
  <c r="AN15" i="26"/>
  <c r="AN16" i="26"/>
  <c r="AN17" i="26"/>
  <c r="AN18" i="26"/>
  <c r="AN19" i="26"/>
  <c r="AN20" i="26"/>
  <c r="AN21" i="26"/>
  <c r="AN22" i="26"/>
  <c r="AN23" i="26"/>
  <c r="AN24" i="26"/>
  <c r="AN25" i="26"/>
  <c r="AN26" i="26"/>
  <c r="AN27" i="26"/>
  <c r="AN28" i="26"/>
  <c r="AN29" i="26"/>
  <c r="AN30" i="26"/>
  <c r="AN31" i="26"/>
  <c r="AN32" i="26"/>
  <c r="AN33" i="26"/>
  <c r="AN34" i="26"/>
  <c r="AN35" i="26"/>
  <c r="AN2" i="26"/>
  <c r="AN99" i="30"/>
  <c r="AO99" i="30" s="1"/>
  <c r="AN98" i="30"/>
  <c r="AO98" i="30" s="1"/>
  <c r="AN97" i="30"/>
  <c r="AO97" i="30" s="1"/>
  <c r="AN96" i="30"/>
  <c r="AO96" i="30" s="1"/>
  <c r="AN95" i="30"/>
  <c r="AO95" i="30" s="1"/>
  <c r="AN94" i="30"/>
  <c r="AO94" i="30" s="1"/>
  <c r="AN93" i="30"/>
  <c r="AO93" i="30" s="1"/>
  <c r="AN3" i="18"/>
  <c r="AN4" i="18"/>
  <c r="AN5" i="18"/>
  <c r="AN6" i="18"/>
  <c r="AN7" i="18"/>
  <c r="AN8" i="18"/>
  <c r="AN9" i="18"/>
  <c r="AN10" i="18"/>
  <c r="AN11" i="18"/>
  <c r="AN12" i="18"/>
  <c r="AN13" i="18"/>
  <c r="AN14" i="18"/>
  <c r="AN15" i="18"/>
  <c r="AN16" i="18"/>
  <c r="AN17" i="18"/>
  <c r="AN18" i="18"/>
  <c r="AN19" i="18"/>
  <c r="AN20" i="18"/>
  <c r="AN21" i="18"/>
  <c r="AN22" i="18"/>
  <c r="AN23" i="18"/>
  <c r="AN24" i="18"/>
  <c r="AN25" i="18"/>
  <c r="AN26" i="18"/>
  <c r="AN27" i="18"/>
  <c r="AN28" i="18"/>
  <c r="AN29" i="18"/>
  <c r="AN30" i="18"/>
  <c r="AN31" i="18"/>
  <c r="AN32" i="18"/>
  <c r="AN2" i="18"/>
  <c r="AN92" i="30"/>
  <c r="AO92" i="30" s="1"/>
  <c r="AN90" i="30"/>
  <c r="AO90" i="30" s="1"/>
  <c r="AN89" i="30"/>
  <c r="AO89" i="30" s="1"/>
  <c r="AN88" i="30"/>
  <c r="AO88" i="30" s="1"/>
  <c r="AN87" i="30"/>
  <c r="AO87" i="30" s="1"/>
  <c r="AN86" i="30"/>
  <c r="AO86" i="30" s="1"/>
  <c r="AN85" i="30"/>
  <c r="AO85" i="30" s="1"/>
  <c r="AN84" i="30"/>
  <c r="AO84" i="30" s="1"/>
  <c r="AN83" i="30"/>
  <c r="AO83" i="30" s="1"/>
  <c r="AN82" i="30"/>
  <c r="AO82" i="30" s="1"/>
  <c r="AN81" i="30"/>
  <c r="AO81" i="30" s="1"/>
  <c r="AN80" i="30"/>
  <c r="AO80" i="30" s="1"/>
  <c r="AN79" i="30"/>
  <c r="AO79" i="30" s="1"/>
  <c r="AN78" i="30"/>
  <c r="AO78" i="30" s="1"/>
  <c r="AN77" i="30"/>
  <c r="AO77" i="30" s="1"/>
  <c r="AN76" i="30"/>
  <c r="AO76" i="30" s="1"/>
  <c r="AN75" i="30"/>
  <c r="AO75" i="30" s="1"/>
  <c r="AN74" i="30"/>
  <c r="AO74" i="30" s="1"/>
  <c r="AN73" i="30"/>
  <c r="AO73" i="30" s="1"/>
  <c r="AN72" i="30"/>
  <c r="AO72" i="30" s="1"/>
  <c r="AN71" i="30"/>
  <c r="AO71" i="30" s="1"/>
  <c r="AN70" i="30"/>
  <c r="AO70" i="30" s="1"/>
  <c r="AN69" i="30"/>
  <c r="AO69" i="30" s="1"/>
  <c r="AN68" i="30"/>
  <c r="AO68" i="30" s="1"/>
  <c r="AN67" i="30"/>
  <c r="AO67" i="30" s="1"/>
  <c r="AN3" i="13"/>
  <c r="AN4" i="13"/>
  <c r="AN5" i="13"/>
  <c r="AN6" i="13"/>
  <c r="AN7" i="13"/>
  <c r="AN8" i="13"/>
  <c r="AN9" i="13"/>
  <c r="AN10" i="13"/>
  <c r="AN11" i="13"/>
  <c r="AN12" i="13"/>
  <c r="AN13" i="13"/>
  <c r="AN14" i="13"/>
  <c r="AN15" i="13"/>
  <c r="AN16" i="13"/>
  <c r="AN17" i="13"/>
  <c r="AN18" i="13"/>
  <c r="AN19" i="13"/>
  <c r="AN20" i="13"/>
  <c r="AN21" i="13"/>
  <c r="AN22" i="13"/>
  <c r="AN23" i="13"/>
  <c r="AN24" i="13"/>
  <c r="AN25" i="13"/>
  <c r="AN26" i="13"/>
  <c r="AN27" i="13"/>
  <c r="AN2" i="13"/>
  <c r="AN38" i="30"/>
  <c r="AO38" i="30" s="1"/>
  <c r="AN39" i="30"/>
  <c r="AO39" i="30" s="1"/>
  <c r="AN40" i="30"/>
  <c r="AO40" i="30" s="1"/>
  <c r="AN41" i="30"/>
  <c r="AO41" i="30" s="1"/>
  <c r="AN42" i="30"/>
  <c r="AO42" i="30" s="1"/>
  <c r="AN43" i="30"/>
  <c r="AO43" i="30" s="1"/>
  <c r="AN44" i="30"/>
  <c r="AO44" i="30" s="1"/>
  <c r="AN45" i="30"/>
  <c r="AO45" i="30" s="1"/>
  <c r="AN46" i="30"/>
  <c r="AO46" i="30" s="1"/>
  <c r="AN47" i="30"/>
  <c r="AO47" i="30" s="1"/>
  <c r="AN48" i="30"/>
  <c r="AO48" i="30" s="1"/>
  <c r="AN49" i="30"/>
  <c r="AO49" i="30" s="1"/>
  <c r="AN50" i="30"/>
  <c r="AO50" i="30" s="1"/>
  <c r="AN51" i="30"/>
  <c r="AO51" i="30" s="1"/>
  <c r="AN52" i="30"/>
  <c r="AO52" i="30" s="1"/>
  <c r="AN53" i="30"/>
  <c r="AO53" i="30" s="1"/>
  <c r="AN54" i="30"/>
  <c r="AO54" i="30" s="1"/>
  <c r="AN55" i="30"/>
  <c r="AO55" i="30" s="1"/>
  <c r="AN56" i="30"/>
  <c r="AO56" i="30" s="1"/>
  <c r="AN57" i="30"/>
  <c r="AO57" i="30" s="1"/>
  <c r="AN58" i="30"/>
  <c r="AO58" i="30" s="1"/>
  <c r="AN59" i="30"/>
  <c r="AO59" i="30" s="1"/>
  <c r="AN60" i="30"/>
  <c r="AO60" i="30" s="1"/>
  <c r="AN61" i="30"/>
  <c r="AO61" i="30" s="1"/>
  <c r="AN62" i="30"/>
  <c r="AO62" i="30" s="1"/>
  <c r="AN63" i="30"/>
  <c r="AO63" i="30" s="1"/>
  <c r="AN64" i="30"/>
  <c r="AO64" i="30" s="1"/>
  <c r="AN65" i="30"/>
  <c r="AO65" i="30" s="1"/>
  <c r="AN66" i="30"/>
  <c r="AO66" i="30" s="1"/>
  <c r="AN37" i="30"/>
  <c r="AO37" i="30" s="1"/>
  <c r="AM80" i="29"/>
  <c r="AK3" i="2"/>
  <c r="AK4" i="2"/>
  <c r="AK5" i="2"/>
  <c r="AK6" i="2"/>
  <c r="AK7" i="2"/>
  <c r="AK8" i="2"/>
  <c r="AK9" i="2"/>
  <c r="AK10" i="2"/>
  <c r="AK11" i="2"/>
  <c r="AK12" i="2"/>
  <c r="AK13" i="2"/>
  <c r="AK14" i="2"/>
  <c r="AK15" i="2"/>
  <c r="AK16" i="2"/>
  <c r="AK17" i="2"/>
  <c r="AK18" i="2"/>
  <c r="AK19" i="2"/>
  <c r="AK20" i="2"/>
  <c r="AK21" i="2"/>
  <c r="AK22" i="2"/>
  <c r="AK23" i="2"/>
  <c r="AK24" i="2"/>
  <c r="AK25" i="2"/>
  <c r="AK26" i="2"/>
  <c r="AK27" i="2"/>
  <c r="AK28" i="2"/>
  <c r="AK29" i="2"/>
  <c r="AK30" i="2"/>
  <c r="AK31" i="2"/>
  <c r="AK32" i="2"/>
  <c r="AK2" i="2"/>
  <c r="AN3" i="4"/>
  <c r="AN4" i="4"/>
  <c r="AN5" i="4"/>
  <c r="AN6" i="4"/>
  <c r="AN7" i="4"/>
  <c r="AN8" i="4"/>
  <c r="AN9" i="4"/>
  <c r="AN10" i="4"/>
  <c r="AN11" i="4"/>
  <c r="AN12" i="4"/>
  <c r="AN13" i="4"/>
  <c r="AN14" i="4"/>
  <c r="AN15" i="4"/>
  <c r="AN16" i="4"/>
  <c r="AN17" i="4"/>
  <c r="AN18" i="4"/>
  <c r="AN19" i="4"/>
  <c r="AN20" i="4"/>
  <c r="AN21" i="4"/>
  <c r="AN22" i="4"/>
  <c r="AN23" i="4"/>
  <c r="AN24" i="4"/>
  <c r="AN25" i="4"/>
  <c r="AN26" i="4"/>
  <c r="AN27" i="4"/>
  <c r="AN28" i="4"/>
  <c r="AN29" i="4"/>
  <c r="AN30" i="4"/>
  <c r="AN31" i="4"/>
  <c r="AN32" i="4"/>
  <c r="AN33" i="4"/>
  <c r="AN34" i="4"/>
  <c r="AN35" i="4"/>
  <c r="AN36" i="4"/>
  <c r="AN2" i="4"/>
  <c r="AK3" i="8"/>
  <c r="AK4" i="8"/>
  <c r="AK5" i="8"/>
  <c r="AK6" i="8"/>
  <c r="AK7" i="8"/>
  <c r="AK8" i="8"/>
  <c r="AK9" i="8"/>
  <c r="AK10" i="8"/>
  <c r="AK11" i="8"/>
  <c r="AK12" i="8"/>
  <c r="AK13" i="8"/>
  <c r="AK14" i="8"/>
  <c r="AK15" i="8"/>
  <c r="AK16" i="8"/>
  <c r="AK17" i="8"/>
  <c r="AK18" i="8"/>
  <c r="AK19" i="8"/>
  <c r="AK20" i="8"/>
  <c r="AK21" i="8"/>
  <c r="AK22" i="8"/>
  <c r="AK23" i="8"/>
  <c r="AK24" i="8"/>
  <c r="AK25" i="8"/>
  <c r="AK2" i="8"/>
  <c r="AN3" i="9"/>
  <c r="AN4" i="9"/>
  <c r="AN5" i="9"/>
  <c r="AN6" i="9"/>
  <c r="AN7" i="9"/>
  <c r="AN8" i="9"/>
  <c r="AN9" i="9"/>
  <c r="AN10" i="9"/>
  <c r="AN11" i="9"/>
  <c r="AN12" i="9"/>
  <c r="AN13" i="9"/>
  <c r="AN14" i="9"/>
  <c r="AN15" i="9"/>
  <c r="AN16" i="9"/>
  <c r="AN17" i="9"/>
  <c r="AN18" i="9"/>
  <c r="AN19" i="9"/>
  <c r="AN20" i="9"/>
  <c r="AN21" i="9"/>
  <c r="AN22" i="9"/>
  <c r="AN23" i="9"/>
  <c r="AN24" i="9"/>
  <c r="AN25" i="9"/>
  <c r="AN26" i="9"/>
  <c r="AN27" i="9"/>
  <c r="AN28" i="9"/>
  <c r="AN29" i="9"/>
  <c r="AN30" i="9"/>
  <c r="AN31" i="9"/>
  <c r="AN2" i="9"/>
  <c r="AK3" i="12"/>
  <c r="AK4" i="12"/>
  <c r="AK5" i="12"/>
  <c r="AK6" i="12"/>
  <c r="AK7" i="12"/>
  <c r="AK8" i="12"/>
  <c r="AK9" i="12"/>
  <c r="AK10" i="12"/>
  <c r="AK11" i="12"/>
  <c r="AK12" i="12"/>
  <c r="AK13" i="12"/>
  <c r="AK14" i="12"/>
  <c r="AK15" i="12"/>
  <c r="AK16" i="12"/>
  <c r="AK17" i="12"/>
  <c r="AK18" i="12"/>
  <c r="AK19" i="12"/>
  <c r="AK20" i="12"/>
  <c r="AK21" i="12"/>
  <c r="AK22" i="12"/>
  <c r="AK23" i="12"/>
  <c r="AK24" i="12"/>
  <c r="AK25" i="12"/>
  <c r="AK26" i="12"/>
  <c r="AK2" i="12"/>
  <c r="AK2" i="17"/>
  <c r="AK3" i="21"/>
  <c r="AK4" i="21"/>
  <c r="AK5" i="21"/>
  <c r="AK6" i="21"/>
  <c r="AK7" i="21"/>
  <c r="AK8" i="21"/>
  <c r="AK9" i="21"/>
  <c r="AK10" i="21"/>
  <c r="AK11" i="21"/>
  <c r="AK12" i="21"/>
  <c r="AK13" i="21"/>
  <c r="AK14" i="21"/>
  <c r="AK15" i="21"/>
  <c r="AK16" i="21"/>
  <c r="AK17" i="21"/>
  <c r="AK18" i="21"/>
  <c r="AK19" i="21"/>
  <c r="AK20" i="21"/>
  <c r="AK21" i="21"/>
  <c r="AK22" i="21"/>
  <c r="AK2" i="21"/>
  <c r="AM72" i="29" l="1"/>
  <c r="AM2" i="29"/>
  <c r="D121" i="29"/>
  <c r="AM96" i="29"/>
  <c r="D125" i="29"/>
  <c r="AM52" i="29"/>
  <c r="D123" i="29"/>
  <c r="AL31" i="29"/>
  <c r="D122" i="29"/>
  <c r="AL75" i="29"/>
  <c r="D124" i="29"/>
  <c r="AL10" i="29"/>
  <c r="AL9" i="29"/>
  <c r="AL8" i="29"/>
  <c r="AL100" i="29"/>
  <c r="AL5" i="29"/>
  <c r="AL2" i="29"/>
  <c r="AL95" i="29"/>
  <c r="AL94" i="29"/>
  <c r="AL4" i="29"/>
  <c r="AM3" i="29"/>
  <c r="AL3" i="29"/>
  <c r="AL52" i="29"/>
  <c r="AM22" i="29"/>
  <c r="AL22" i="29"/>
  <c r="AM28" i="29"/>
  <c r="AL28" i="29"/>
  <c r="AM113" i="29"/>
  <c r="AL113" i="29"/>
  <c r="AM21" i="29"/>
  <c r="AL21" i="29"/>
  <c r="AM71" i="29"/>
  <c r="AL71" i="29"/>
  <c r="AM27" i="29"/>
  <c r="AL27" i="29"/>
  <c r="AM93" i="29"/>
  <c r="AL93" i="29"/>
  <c r="AM112" i="29"/>
  <c r="AL112" i="29"/>
  <c r="AM48" i="29"/>
  <c r="AL48" i="29"/>
  <c r="AM70" i="29"/>
  <c r="AL70" i="29"/>
  <c r="AM25" i="29"/>
  <c r="AL25" i="29"/>
  <c r="AM92" i="29"/>
  <c r="AL92" i="29"/>
  <c r="AM111" i="29"/>
  <c r="AL111" i="29"/>
  <c r="AM19" i="29"/>
  <c r="AL19" i="29"/>
  <c r="AM69" i="29"/>
  <c r="AL69" i="29"/>
  <c r="AL29" i="29"/>
  <c r="AL96" i="29"/>
  <c r="AL74" i="29"/>
  <c r="AL73" i="29"/>
  <c r="AL91" i="29"/>
  <c r="AL90" i="29"/>
  <c r="AL89" i="29"/>
  <c r="AL110" i="29"/>
  <c r="AL88" i="29"/>
  <c r="AL66" i="29"/>
  <c r="AL44" i="29"/>
  <c r="AL109" i="29"/>
  <c r="AL87" i="29"/>
  <c r="AL65" i="29"/>
  <c r="AL43" i="29"/>
  <c r="AL107" i="29"/>
  <c r="AL85" i="29"/>
  <c r="AL63" i="29"/>
  <c r="AL41" i="29"/>
  <c r="AL106" i="29"/>
  <c r="AL84" i="29"/>
  <c r="AL62" i="29"/>
  <c r="AL40" i="29"/>
  <c r="AL18" i="29"/>
  <c r="AL105" i="29"/>
  <c r="AL83" i="29"/>
  <c r="AL61" i="29"/>
  <c r="AL104" i="29"/>
  <c r="AL58" i="29"/>
  <c r="AL36" i="29"/>
  <c r="AL101" i="29"/>
  <c r="AL79" i="29"/>
  <c r="AL57" i="29"/>
  <c r="AM35" i="29"/>
  <c r="AM51" i="29"/>
  <c r="AM50" i="29"/>
  <c r="AM47" i="29"/>
  <c r="AM46" i="29"/>
  <c r="AM45" i="29"/>
  <c r="AM56" i="29"/>
  <c r="AM7" i="29"/>
  <c r="AM55" i="29"/>
  <c r="AM6" i="29"/>
  <c r="AM116" i="29"/>
  <c r="AM54" i="29"/>
  <c r="AM115" i="29"/>
  <c r="AM53" i="29"/>
  <c r="AM114" i="29"/>
  <c r="AM98" i="29"/>
  <c r="AM34" i="29"/>
  <c r="AM97" i="29"/>
  <c r="AM33" i="29"/>
  <c r="AM32" i="29"/>
  <c r="AM31" i="29"/>
  <c r="AM78" i="29"/>
  <c r="AM77" i="29"/>
  <c r="AM76" i="29"/>
  <c r="AM75" i="29"/>
  <c r="AM24" i="29"/>
  <c r="AM11" i="29"/>
  <c r="AM14" i="29"/>
  <c r="AM15" i="29"/>
  <c r="AM16" i="29"/>
  <c r="AM17" i="29"/>
  <c r="AM108" i="29"/>
  <c r="AM42" i="29"/>
  <c r="AM64" i="29"/>
  <c r="AM86" i="29"/>
  <c r="AM20" i="29"/>
  <c r="AM68" i="29"/>
  <c r="AM39" i="29"/>
  <c r="AM103" i="29"/>
  <c r="AM67" i="29"/>
  <c r="AM38" i="29"/>
  <c r="AM60" i="29"/>
  <c r="AM82" i="29"/>
  <c r="AM102" i="29"/>
  <c r="AM23" i="29"/>
  <c r="AM37" i="29"/>
  <c r="AM59" i="29"/>
  <c r="AM81" i="29"/>
  <c r="AM13" i="29"/>
  <c r="AM12" i="29"/>
  <c r="AM49" i="29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96D5DC3-1BD6-4B4D-A51E-FA44F9A9AE71}" keepAlive="1" name="Query - CLE 2023 Batting" description="Connection to the 'CLE 2023 Batting' query in the workbook." type="5" refreshedVersion="0" background="1">
    <dbPr connection="Provider=Microsoft.Mashup.OleDb.1;Data Source=$Workbook$;Location=&quot;CLE 2023 Batting&quot;;Extended Properties=&quot;&quot;" command="SELECT * FROM [CLE 2023 Batting]"/>
  </connection>
  <connection id="2" xr16:uid="{80F2A317-80BA-46DB-865F-A5C342EA16E8}" keepAlive="1" name="Query - CLE 2023 Pitching" description="Connection to the 'CLE 2023 Pitching' query in the workbook." type="5" refreshedVersion="0" background="1">
    <dbPr connection="Provider=Microsoft.Mashup.OleDb.1;Data Source=$Workbook$;Location=&quot;CLE 2023 Pitching&quot;;Extended Properties=&quot;&quot;" command="SELECT * FROM [CLE 2023 Pitching]"/>
  </connection>
  <connection id="3" xr16:uid="{8954B014-12E3-47A8-8F97-01EADD48D126}" keepAlive="1" name="Query - CLE 2024 Batting" description="Connection to the 'CLE 2024 Batting' query in the workbook." type="5" refreshedVersion="8" background="1" saveData="1">
    <dbPr connection="Provider=Microsoft.Mashup.OleDb.1;Data Source=$Workbook$;Location=&quot;CLE 2024 Batting&quot;;Extended Properties=&quot;&quot;" command="SELECT * FROM [CLE 2024 Batting]"/>
  </connection>
  <connection id="4" xr16:uid="{51AA8F48-2CFE-48B2-B62E-D2A90DE57688}" keepAlive="1" name="Query - CLE 2024 Pitching" description="Connection to the 'CLE 2024 Pitching' query in the workbook." type="5" refreshedVersion="8" background="1" saveData="1">
    <dbPr connection="Provider=Microsoft.Mashup.OleDb.1;Data Source=$Workbook$;Location=&quot;CLE 2024 Pitching&quot;;Extended Properties=&quot;&quot;" command="SELECT * FROM [CLE 2024 Pitching]"/>
  </connection>
  <connection id="5" xr16:uid="{A9DFA113-63CF-42BF-8AD6-135494C9BE4C}" keepAlive="1" name="Query - CSW 2024 Batting" description="Connection to the 'CSW 2024 Batting' query in the workbook." type="5" refreshedVersion="8" background="1" saveData="1">
    <dbPr connection="Provider=Microsoft.Mashup.OleDb.1;Data Source=$Workbook$;Location=&quot;CSW 2024 Batting&quot;;Extended Properties=&quot;&quot;" command="SELECT * FROM [CSW 2024 Batting]"/>
  </connection>
  <connection id="6" xr16:uid="{0EF24006-5E20-49B1-A98A-AE741C01053F}" keepAlive="1" name="Query - CSW 2024 Pitching" description="Connection to the 'CSW 2024 Pitching' query in the workbook." type="5" refreshedVersion="8" background="1" saveData="1">
    <dbPr connection="Provider=Microsoft.Mashup.OleDb.1;Data Source=$Workbook$;Location=&quot;CSW 2024 Pitching&quot;;Extended Properties=&quot;&quot;" command="SELECT * FROM [CSW 2024 Pitching]"/>
  </connection>
  <connection id="7" xr16:uid="{9B55D5EA-6F9E-412B-B370-FC33101B3E83}" keepAlive="1" name="Query - CWS 2023 Batting" description="Connection to the 'CWS 2023 Batting' query in the workbook." type="5" refreshedVersion="0" background="1">
    <dbPr connection="Provider=Microsoft.Mashup.OleDb.1;Data Source=$Workbook$;Location=&quot;CWS 2023 Batting&quot;;Extended Properties=&quot;&quot;" command="SELECT * FROM [CWS 2023 Batting]"/>
  </connection>
  <connection id="8" xr16:uid="{83685937-E3ED-4BA7-9FE6-71389382E7CA}" keepAlive="1" name="Query - CWS 2023 Pitching" description="Connection to the 'CWS 2023 Pitching' query in the workbook." type="5" refreshedVersion="0" background="1">
    <dbPr connection="Provider=Microsoft.Mashup.OleDb.1;Data Source=$Workbook$;Location=&quot;CWS 2023 Pitching&quot;;Extended Properties=&quot;&quot;" command="SELECT * FROM [CWS 2023 Pitching]"/>
  </connection>
  <connection id="9" xr16:uid="{4BC3D3D4-5B82-4F75-9471-4712256E564D}" keepAlive="1" name="Query - DET 2023 Batting" description="Connection to the 'DET 2023 Batting' query in the workbook." type="5" refreshedVersion="0" background="1">
    <dbPr connection="Provider=Microsoft.Mashup.OleDb.1;Data Source=$Workbook$;Location=&quot;DET 2023 Batting&quot;;Extended Properties=&quot;&quot;" command="SELECT * FROM [DET 2023 Batting]"/>
  </connection>
  <connection id="10" xr16:uid="{65871E77-1F35-40DE-96C1-BFC6BA10AE5B}" keepAlive="1" name="Query - DET 2023 Pitching" description="Connection to the 'DET 2023 Pitching' query in the workbook." type="5" refreshedVersion="0" background="1">
    <dbPr connection="Provider=Microsoft.Mashup.OleDb.1;Data Source=$Workbook$;Location=&quot;DET 2023 Pitching&quot;;Extended Properties=&quot;&quot;" command="SELECT * FROM [DET 2023 Pitching]"/>
  </connection>
  <connection id="11" xr16:uid="{CFCF79EE-1C3C-4C76-9BBA-EA088EACDC3C}" keepAlive="1" name="Query - DET 2024 Batting" description="Connection to the 'DET 2024 Batting' query in the workbook." type="5" refreshedVersion="8" background="1" saveData="1">
    <dbPr connection="Provider=Microsoft.Mashup.OleDb.1;Data Source=$Workbook$;Location=&quot;DET 2024 Batting&quot;;Extended Properties=&quot;&quot;" command="SELECT * FROM [DET 2024 Batting]"/>
  </connection>
  <connection id="12" xr16:uid="{63AEF66D-14E6-47E6-800F-CED9D0DC7969}" keepAlive="1" name="Query - DET 2024 Pitching" description="Connection to the 'DET 2024 Pitching' query in the workbook." type="5" refreshedVersion="8" background="1" saveData="1">
    <dbPr connection="Provider=Microsoft.Mashup.OleDb.1;Data Source=$Workbook$;Location=&quot;DET 2024 Pitching&quot;;Extended Properties=&quot;&quot;" command="SELECT * FROM [DET 2024 Pitching]"/>
  </connection>
  <connection id="13" xr16:uid="{9848EE8A-1AD1-4975-A62B-1500E7687441}" keepAlive="1" name="Query - KC 2023 Batting" description="Connection to the 'KC 2023 Batting' query in the workbook." type="5" refreshedVersion="0" background="1">
    <dbPr connection="Provider=Microsoft.Mashup.OleDb.1;Data Source=$Workbook$;Location=&quot;KC 2023 Batting&quot;;Extended Properties=&quot;&quot;" command="SELECT * FROM [KC 2023 Batting]"/>
  </connection>
  <connection id="14" xr16:uid="{D40B7E76-78C4-4F6C-A2EC-EB327997D201}" keepAlive="1" name="Query - KC 2023 Pitching" description="Connection to the 'KC 2023 Pitching' query in the workbook." type="5" refreshedVersion="0" background="1">
    <dbPr connection="Provider=Microsoft.Mashup.OleDb.1;Data Source=$Workbook$;Location=&quot;KC 2023 Pitching&quot;;Extended Properties=&quot;&quot;" command="SELECT * FROM [KC 2023 Pitching]"/>
  </connection>
  <connection id="15" xr16:uid="{993D6F91-E398-4CDE-89AC-40CC601B5877}" keepAlive="1" name="Query - KC 2024 Batting" description="Connection to the 'KC 2024 Batting' query in the workbook." type="5" refreshedVersion="8" background="1" saveData="1">
    <dbPr connection="Provider=Microsoft.Mashup.OleDb.1;Data Source=$Workbook$;Location=&quot;KC 2024 Batting&quot;;Extended Properties=&quot;&quot;" command="SELECT * FROM [KC 2024 Batting]"/>
  </connection>
  <connection id="16" xr16:uid="{463AEB85-7530-4214-9048-04A1737F0073}" keepAlive="1" name="Query - KC 2024 Pitching" description="Connection to the 'KC 2024 Pitching' query in the workbook." type="5" refreshedVersion="8" background="1" saveData="1">
    <dbPr connection="Provider=Microsoft.Mashup.OleDb.1;Data Source=$Workbook$;Location=&quot;KC 2024 Pitching&quot;;Extended Properties=&quot;&quot;" command="SELECT * FROM [KC 2024 Pitching]"/>
  </connection>
  <connection id="17" xr16:uid="{8367888B-FD8D-4BF2-AC5F-F07C1B8ECFA5}" keepAlive="1" name="Query - MIN 2024 Batting" description="Connection to the 'MIN 2024 Batting' query in the workbook." type="5" refreshedVersion="8" background="1" saveData="1">
    <dbPr connection="Provider=Microsoft.Mashup.OleDb.1;Data Source=$Workbook$;Location=&quot;MIN 2024 Batting&quot;;Extended Properties=&quot;&quot;" command="SELECT * FROM [MIN 2024 Batting]"/>
  </connection>
  <connection id="18" xr16:uid="{3F4E9C1B-72E9-42D5-A702-F9B10DDE0143}" keepAlive="1" name="Query - MIN 2024 Pitching" description="Connection to the 'MIN 2024 Pitching' query in the workbook." type="5" refreshedVersion="8" background="1" saveData="1">
    <dbPr connection="Provider=Microsoft.Mashup.OleDb.1;Data Source=$Workbook$;Location=&quot;MIN 2024 Pitching&quot;;Extended Properties=&quot;&quot;" command="SELECT * FROM [MIN 2024 Pitching]"/>
  </connection>
</connections>
</file>

<file path=xl/sharedStrings.xml><?xml version="1.0" encoding="utf-8"?>
<sst xmlns="http://schemas.openxmlformats.org/spreadsheetml/2006/main" count="4677" uniqueCount="886">
  <si>
    <t>Rk</t>
  </si>
  <si>
    <t>Player</t>
  </si>
  <si>
    <t>Age</t>
  </si>
  <si>
    <t>Pos</t>
  </si>
  <si>
    <t>WAR</t>
  </si>
  <si>
    <t>G</t>
  </si>
  <si>
    <t>PA</t>
  </si>
  <si>
    <t>AB</t>
  </si>
  <si>
    <t>R</t>
  </si>
  <si>
    <t>H</t>
  </si>
  <si>
    <t>2B</t>
  </si>
  <si>
    <t>3B</t>
  </si>
  <si>
    <t>HR</t>
  </si>
  <si>
    <t>RBI</t>
  </si>
  <si>
    <t>SB</t>
  </si>
  <si>
    <t>CS</t>
  </si>
  <si>
    <t>BB</t>
  </si>
  <si>
    <t>SO</t>
  </si>
  <si>
    <t>BA</t>
  </si>
  <si>
    <t>OBP</t>
  </si>
  <si>
    <t>SLG</t>
  </si>
  <si>
    <t>OPS</t>
  </si>
  <si>
    <t>OPS+</t>
  </si>
  <si>
    <t>rOBA</t>
  </si>
  <si>
    <t>Rbat+</t>
  </si>
  <si>
    <t>TB</t>
  </si>
  <si>
    <t>GIDP</t>
  </si>
  <si>
    <t>HBP</t>
  </si>
  <si>
    <t>SH</t>
  </si>
  <si>
    <t>SF</t>
  </si>
  <si>
    <t>IBB</t>
  </si>
  <si>
    <t>Pos_1</t>
  </si>
  <si>
    <t>Awards</t>
  </si>
  <si>
    <t>Player-additional</t>
  </si>
  <si>
    <t>Korey Lee</t>
  </si>
  <si>
    <t>C</t>
  </si>
  <si>
    <t>*2H/D</t>
  </si>
  <si>
    <t/>
  </si>
  <si>
    <t>leeko01</t>
  </si>
  <si>
    <t>Andrew Vaughn</t>
  </si>
  <si>
    <t>1B</t>
  </si>
  <si>
    <t>*3D/H</t>
  </si>
  <si>
    <t>vaughan01</t>
  </si>
  <si>
    <t>Nicky Lopez*</t>
  </si>
  <si>
    <t>46/H</t>
  </si>
  <si>
    <t>lopezni01</t>
  </si>
  <si>
    <t>Paul DeJong</t>
  </si>
  <si>
    <t>SS</t>
  </si>
  <si>
    <t>65/HD</t>
  </si>
  <si>
    <t>dejonpa01</t>
  </si>
  <si>
    <t>Lenyn Sosa</t>
  </si>
  <si>
    <t>54/H3D</t>
  </si>
  <si>
    <t>sosale01</t>
  </si>
  <si>
    <t>Andrew Benintendi*</t>
  </si>
  <si>
    <t>LF</t>
  </si>
  <si>
    <t>*7H/D8</t>
  </si>
  <si>
    <t>beninan01</t>
  </si>
  <si>
    <t>Luis Robert Jr.</t>
  </si>
  <si>
    <t>CF</t>
  </si>
  <si>
    <t>8/DH</t>
  </si>
  <si>
    <t>roberlu01</t>
  </si>
  <si>
    <t>Dominic Fletcher*</t>
  </si>
  <si>
    <t>RF</t>
  </si>
  <si>
    <t>98/H7</t>
  </si>
  <si>
    <t>fletcdo01</t>
  </si>
  <si>
    <t>Eloy Jiménez</t>
  </si>
  <si>
    <t>DH</t>
  </si>
  <si>
    <t>D/H9</t>
  </si>
  <si>
    <t>jimenel02</t>
  </si>
  <si>
    <t>Gavin Sheets*</t>
  </si>
  <si>
    <t>UT</t>
  </si>
  <si>
    <t>93DH</t>
  </si>
  <si>
    <t>sheetga01</t>
  </si>
  <si>
    <t>Tommy Pham</t>
  </si>
  <si>
    <t>OF</t>
  </si>
  <si>
    <t>987/HD</t>
  </si>
  <si>
    <t>phamth01</t>
  </si>
  <si>
    <t>Corey Julks</t>
  </si>
  <si>
    <t>97H/D8</t>
  </si>
  <si>
    <t>julksco01</t>
  </si>
  <si>
    <t>Miguel Vargas</t>
  </si>
  <si>
    <t>5/D7H</t>
  </si>
  <si>
    <t>vargami01</t>
  </si>
  <si>
    <t>Martín Maldonado</t>
  </si>
  <si>
    <t>2</t>
  </si>
  <si>
    <t>maldoma01</t>
  </si>
  <si>
    <t>Danny Mendick</t>
  </si>
  <si>
    <t>54H/1D</t>
  </si>
  <si>
    <t>mendida01</t>
  </si>
  <si>
    <t>Brooks Baldwin#</t>
  </si>
  <si>
    <t>4/6</t>
  </si>
  <si>
    <t>baldwbr01</t>
  </si>
  <si>
    <t>Bryan Ramos</t>
  </si>
  <si>
    <t>5/DH</t>
  </si>
  <si>
    <t>ramosbr01</t>
  </si>
  <si>
    <t>Robbie Grossman#</t>
  </si>
  <si>
    <t>9/H7D</t>
  </si>
  <si>
    <t>grossro01</t>
  </si>
  <si>
    <t>Chuckie Robinson</t>
  </si>
  <si>
    <t>2/H</t>
  </si>
  <si>
    <t>robinch04</t>
  </si>
  <si>
    <t>Zach DeLoach*</t>
  </si>
  <si>
    <t>9/7H8D</t>
  </si>
  <si>
    <t>deloaza01</t>
  </si>
  <si>
    <t>Jacob Amaya</t>
  </si>
  <si>
    <t>6</t>
  </si>
  <si>
    <t>amayaja01</t>
  </si>
  <si>
    <t>Braden Shewmake*</t>
  </si>
  <si>
    <t>IF</t>
  </si>
  <si>
    <t>6/54HD</t>
  </si>
  <si>
    <t>shewmbr01</t>
  </si>
  <si>
    <t>Yoán Moncada#</t>
  </si>
  <si>
    <t>moncayo01</t>
  </si>
  <si>
    <t>Zach Remillard</t>
  </si>
  <si>
    <t>/456H78D</t>
  </si>
  <si>
    <t>remilza01</t>
  </si>
  <si>
    <t>Oscar Colás*</t>
  </si>
  <si>
    <t>/98H</t>
  </si>
  <si>
    <t>colasos01</t>
  </si>
  <si>
    <t>Kevin Pillar</t>
  </si>
  <si>
    <t>/H89D</t>
  </si>
  <si>
    <t>pillake01</t>
  </si>
  <si>
    <t>Nick Senzel</t>
  </si>
  <si>
    <t>/5D9H</t>
  </si>
  <si>
    <t>senzeni01</t>
  </si>
  <si>
    <t>Rafael Ortega*</t>
  </si>
  <si>
    <t>8/H9D</t>
  </si>
  <si>
    <t>ortegra01</t>
  </si>
  <si>
    <t>Duke Ellis*</t>
  </si>
  <si>
    <t>/H789D</t>
  </si>
  <si>
    <t>ellisdu01</t>
  </si>
  <si>
    <t>John Brebbia*</t>
  </si>
  <si>
    <t>P</t>
  </si>
  <si>
    <t>1</t>
  </si>
  <si>
    <t>brebbjo01</t>
  </si>
  <si>
    <t>Michael Kopech</t>
  </si>
  <si>
    <t>kopecmi01</t>
  </si>
  <si>
    <t>W</t>
  </si>
  <si>
    <t>L</t>
  </si>
  <si>
    <t>W-L%</t>
  </si>
  <si>
    <t>ERA</t>
  </si>
  <si>
    <t>GS</t>
  </si>
  <si>
    <t>GF</t>
  </si>
  <si>
    <t>CG</t>
  </si>
  <si>
    <t>SHO</t>
  </si>
  <si>
    <t>SV</t>
  </si>
  <si>
    <t>IP</t>
  </si>
  <si>
    <t>ER</t>
  </si>
  <si>
    <t>BK</t>
  </si>
  <si>
    <t>WP</t>
  </si>
  <si>
    <t>BF</t>
  </si>
  <si>
    <t>ERA+</t>
  </si>
  <si>
    <t>FIP</t>
  </si>
  <si>
    <t>WHIP</t>
  </si>
  <si>
    <t>H9</t>
  </si>
  <si>
    <t>HR9</t>
  </si>
  <si>
    <t>BB9</t>
  </si>
  <si>
    <t>SO9</t>
  </si>
  <si>
    <t>SO/BB</t>
  </si>
  <si>
    <t>Chris Flexen</t>
  </si>
  <si>
    <t>SP</t>
  </si>
  <si>
    <t>flexech01</t>
  </si>
  <si>
    <t>Garrett Crochet*</t>
  </si>
  <si>
    <t>AS</t>
  </si>
  <si>
    <t>crochga01</t>
  </si>
  <si>
    <t>Jonathan Cannon</t>
  </si>
  <si>
    <t>cannojo02</t>
  </si>
  <si>
    <t>Erick Fedde</t>
  </si>
  <si>
    <t>feddeer01</t>
  </si>
  <si>
    <t>CL</t>
  </si>
  <si>
    <t>Justin Anderson</t>
  </si>
  <si>
    <t>RP</t>
  </si>
  <si>
    <t>anderju01</t>
  </si>
  <si>
    <t>John Brebbia</t>
  </si>
  <si>
    <t>Tanner Banks*</t>
  </si>
  <si>
    <t>banksta01</t>
  </si>
  <si>
    <t>Steven Wilson</t>
  </si>
  <si>
    <t>wilsost02</t>
  </si>
  <si>
    <t>Michael Soroka</t>
  </si>
  <si>
    <t>sorokmi01</t>
  </si>
  <si>
    <t>Jared Shuster*</t>
  </si>
  <si>
    <t>shustja01</t>
  </si>
  <si>
    <t>Chad Kuhl</t>
  </si>
  <si>
    <t>kuhlch01</t>
  </si>
  <si>
    <t>Davis Martin</t>
  </si>
  <si>
    <t>martida03</t>
  </si>
  <si>
    <t>Drew Thorpe</t>
  </si>
  <si>
    <t>thorpdr01</t>
  </si>
  <si>
    <t>Nick Nastrini</t>
  </si>
  <si>
    <t>nastrni01</t>
  </si>
  <si>
    <t>Jordan Leasure</t>
  </si>
  <si>
    <t>leasujo01</t>
  </si>
  <si>
    <t>Fraser Ellard*</t>
  </si>
  <si>
    <t>ellarfr01</t>
  </si>
  <si>
    <t>Tim Hill*</t>
  </si>
  <si>
    <t>hillti01</t>
  </si>
  <si>
    <t>Touki Toussaint</t>
  </si>
  <si>
    <t>toussto01</t>
  </si>
  <si>
    <t>Gus Varland</t>
  </si>
  <si>
    <t>varlagu01</t>
  </si>
  <si>
    <t>Prelander Berroa</t>
  </si>
  <si>
    <t>berropr01</t>
  </si>
  <si>
    <t>Dominic Leone</t>
  </si>
  <si>
    <t>leonedo01</t>
  </si>
  <si>
    <t>Sean Burke</t>
  </si>
  <si>
    <t>burkese01</t>
  </si>
  <si>
    <t>Ky Bush*</t>
  </si>
  <si>
    <t>bushky01</t>
  </si>
  <si>
    <t>Enyel De Los Santos</t>
  </si>
  <si>
    <t>delosen01</t>
  </si>
  <si>
    <t>Brad Keller</t>
  </si>
  <si>
    <t>kellebr01</t>
  </si>
  <si>
    <t>Mike Clevinger</t>
  </si>
  <si>
    <t>clevimi01</t>
  </si>
  <si>
    <t>Sammy Peralta*</t>
  </si>
  <si>
    <t>peralsa01</t>
  </si>
  <si>
    <t>Deivi García</t>
  </si>
  <si>
    <t>garcide01</t>
  </si>
  <si>
    <t>Jake Woodford</t>
  </si>
  <si>
    <t>woodfja01</t>
  </si>
  <si>
    <t>Matt Foster</t>
  </si>
  <si>
    <t>fostema01</t>
  </si>
  <si>
    <t>Jairo Iriarte</t>
  </si>
  <si>
    <t>iriarja01</t>
  </si>
  <si>
    <t>Bryan Shaw</t>
  </si>
  <si>
    <t>shawbr01</t>
  </si>
  <si>
    <t>Jake Eder*</t>
  </si>
  <si>
    <t>ederja01</t>
  </si>
  <si>
    <t>2/DH</t>
  </si>
  <si>
    <t>Bo Naylor*</t>
  </si>
  <si>
    <t>naylobo01</t>
  </si>
  <si>
    <t>Josh Naylor*</t>
  </si>
  <si>
    <t>naylojo01</t>
  </si>
  <si>
    <t>Andrés Giménez*</t>
  </si>
  <si>
    <t>*4</t>
  </si>
  <si>
    <t>GG</t>
  </si>
  <si>
    <t>gimenan01</t>
  </si>
  <si>
    <t>Brayan Rocchio#</t>
  </si>
  <si>
    <t>*6/H</t>
  </si>
  <si>
    <t>rocchbr01</t>
  </si>
  <si>
    <t>José Ramírez#</t>
  </si>
  <si>
    <t>*5D</t>
  </si>
  <si>
    <t>ASMVP-5SS</t>
  </si>
  <si>
    <t>ramirjo01</t>
  </si>
  <si>
    <t>Steven Kwan*</t>
  </si>
  <si>
    <t>*7/DH</t>
  </si>
  <si>
    <t>ASGG</t>
  </si>
  <si>
    <t>kwanst01</t>
  </si>
  <si>
    <t>Tyler Freeman</t>
  </si>
  <si>
    <t>8H6/54D</t>
  </si>
  <si>
    <t>freemty01</t>
  </si>
  <si>
    <t>Will Brennan*</t>
  </si>
  <si>
    <t>97HD/8</t>
  </si>
  <si>
    <t>brennwi02</t>
  </si>
  <si>
    <t>David Fry</t>
  </si>
  <si>
    <t>DH237/59</t>
  </si>
  <si>
    <t>fryda01</t>
  </si>
  <si>
    <t>Daniel Schneemann*</t>
  </si>
  <si>
    <t>6589H/47D</t>
  </si>
  <si>
    <t>schneda04</t>
  </si>
  <si>
    <t>Jhonkensy Noel</t>
  </si>
  <si>
    <t>9H/3D7</t>
  </si>
  <si>
    <t>noeljh01</t>
  </si>
  <si>
    <t>Lane Thomas</t>
  </si>
  <si>
    <t>89/HD</t>
  </si>
  <si>
    <t>thomala02</t>
  </si>
  <si>
    <t>Ángel Martínez#</t>
  </si>
  <si>
    <t>87/9H5D4</t>
  </si>
  <si>
    <t>martian02</t>
  </si>
  <si>
    <t>Gabriel Arias</t>
  </si>
  <si>
    <t>56/4H38D79</t>
  </si>
  <si>
    <t>ariasga01</t>
  </si>
  <si>
    <t>Kyle Manzardo*</t>
  </si>
  <si>
    <t>DH/3</t>
  </si>
  <si>
    <t>manzaky01</t>
  </si>
  <si>
    <t>Austin Hedges</t>
  </si>
  <si>
    <t>2/1</t>
  </si>
  <si>
    <t>hedgeau01</t>
  </si>
  <si>
    <t>Estevan Florial*</t>
  </si>
  <si>
    <t>79D/H8</t>
  </si>
  <si>
    <t>flories01</t>
  </si>
  <si>
    <t>Ramón Laureano</t>
  </si>
  <si>
    <t>98/H</t>
  </si>
  <si>
    <t>laurera01</t>
  </si>
  <si>
    <t>Johnathan Rodríguez</t>
  </si>
  <si>
    <t>rodrijo10</t>
  </si>
  <si>
    <t>Myles Straw</t>
  </si>
  <si>
    <t>/8HD</t>
  </si>
  <si>
    <t>strawmy01</t>
  </si>
  <si>
    <t>José Tena*</t>
  </si>
  <si>
    <t>/5DH</t>
  </si>
  <si>
    <t>tenajo01</t>
  </si>
  <si>
    <t>Spencer Howard</t>
  </si>
  <si>
    <t>/1</t>
  </si>
  <si>
    <t>howarsp01</t>
  </si>
  <si>
    <t>Hunter Gaddis</t>
  </si>
  <si>
    <t>gaddihu01</t>
  </si>
  <si>
    <t>Pedro Avila</t>
  </si>
  <si>
    <t>avilape01</t>
  </si>
  <si>
    <t>Tanner Bibee</t>
  </si>
  <si>
    <t>bibeeta01</t>
  </si>
  <si>
    <t>Ben Lively</t>
  </si>
  <si>
    <t>livelbe01</t>
  </si>
  <si>
    <t>Carlos Carrasco</t>
  </si>
  <si>
    <t>carraca01</t>
  </si>
  <si>
    <t>Logan Allen*</t>
  </si>
  <si>
    <t>allenlo02</t>
  </si>
  <si>
    <t>Gavin Williams</t>
  </si>
  <si>
    <t>williga01</t>
  </si>
  <si>
    <t>Triston McKenzie</t>
  </si>
  <si>
    <t>mckentr01</t>
  </si>
  <si>
    <t>Emmanuel Clase</t>
  </si>
  <si>
    <t>ASCYA-3MVP-11</t>
  </si>
  <si>
    <t>claseem01</t>
  </si>
  <si>
    <t>Cade Smith</t>
  </si>
  <si>
    <t>CYA-9ROY-5</t>
  </si>
  <si>
    <t>smithca06</t>
  </si>
  <si>
    <t>Tim Herrin*</t>
  </si>
  <si>
    <t>herriti01</t>
  </si>
  <si>
    <t>Nick Sandlin</t>
  </si>
  <si>
    <t>sandlni01</t>
  </si>
  <si>
    <t>Scott Barlow</t>
  </si>
  <si>
    <t>barlosc01</t>
  </si>
  <si>
    <t>Eli Morgan</t>
  </si>
  <si>
    <t>morgael01</t>
  </si>
  <si>
    <t>Matthew Boyd*</t>
  </si>
  <si>
    <t>boydma01</t>
  </si>
  <si>
    <t>Joey Cantillo*</t>
  </si>
  <si>
    <t>cantijo01</t>
  </si>
  <si>
    <t>Xzavion Curry</t>
  </si>
  <si>
    <t>curryxz01</t>
  </si>
  <si>
    <t>Sam Hentges*</t>
  </si>
  <si>
    <t>hentgsa01</t>
  </si>
  <si>
    <t>Alex Cobb</t>
  </si>
  <si>
    <t>cobbal01</t>
  </si>
  <si>
    <t>Tyler Beede</t>
  </si>
  <si>
    <t>beedety01</t>
  </si>
  <si>
    <t>Erik Sabrowski*</t>
  </si>
  <si>
    <t>sabroer01</t>
  </si>
  <si>
    <t>Shane Bieber</t>
  </si>
  <si>
    <t>biebesh01</t>
  </si>
  <si>
    <t>Peter Strzelecki</t>
  </si>
  <si>
    <t>strzepe01</t>
  </si>
  <si>
    <t>Andrew Walters</t>
  </si>
  <si>
    <t>waltean01</t>
  </si>
  <si>
    <t>Connor Gillispie</t>
  </si>
  <si>
    <t>gillico01</t>
  </si>
  <si>
    <t>Darren McCaughan</t>
  </si>
  <si>
    <t>mccauda01</t>
  </si>
  <si>
    <t>Anthony Gose*</t>
  </si>
  <si>
    <t>gosean01</t>
  </si>
  <si>
    <t>Wes Parsons</t>
  </si>
  <si>
    <t>parsowe01</t>
  </si>
  <si>
    <t>Jake Rogers</t>
  </si>
  <si>
    <t>rogerja03</t>
  </si>
  <si>
    <t>Spencer Torkelson</t>
  </si>
  <si>
    <t>3/D</t>
  </si>
  <si>
    <t>torkesp01</t>
  </si>
  <si>
    <t>Colt Keith*</t>
  </si>
  <si>
    <t>*4DH</t>
  </si>
  <si>
    <t>keithco01</t>
  </si>
  <si>
    <t>Javier Báez</t>
  </si>
  <si>
    <t>6/H</t>
  </si>
  <si>
    <t>baezja01</t>
  </si>
  <si>
    <t>Gio Urshela</t>
  </si>
  <si>
    <t>53/HD</t>
  </si>
  <si>
    <t>urshegi01</t>
  </si>
  <si>
    <t>Riley Greene*</t>
  </si>
  <si>
    <t>7D8/9H</t>
  </si>
  <si>
    <t>greenri03</t>
  </si>
  <si>
    <t>Parker Meadows*</t>
  </si>
  <si>
    <t>8/H</t>
  </si>
  <si>
    <t>meadopa01</t>
  </si>
  <si>
    <t>Wenceel Pérez#</t>
  </si>
  <si>
    <t>98H/7D</t>
  </si>
  <si>
    <t>perezwe01</t>
  </si>
  <si>
    <t>Justyn-Henry Malloy</t>
  </si>
  <si>
    <t>D7H/9</t>
  </si>
  <si>
    <t>malloju02</t>
  </si>
  <si>
    <t>Matt Vierling</t>
  </si>
  <si>
    <t>859H7/D3</t>
  </si>
  <si>
    <t>vierlma01</t>
  </si>
  <si>
    <t>Mark Canha</t>
  </si>
  <si>
    <t>3D79/H</t>
  </si>
  <si>
    <t>canhama01</t>
  </si>
  <si>
    <t>Zach McKinstry*</t>
  </si>
  <si>
    <t>65H479/1D</t>
  </si>
  <si>
    <t>mckinza01</t>
  </si>
  <si>
    <t>Kerry Carpenter*</t>
  </si>
  <si>
    <t>9DH/7</t>
  </si>
  <si>
    <t>carpeke01</t>
  </si>
  <si>
    <t>Andy Ibáñez</t>
  </si>
  <si>
    <t>H453/7D6</t>
  </si>
  <si>
    <t>ibanean01</t>
  </si>
  <si>
    <t>Carson Kelly</t>
  </si>
  <si>
    <t>2/HD</t>
  </si>
  <si>
    <t>kellyca02</t>
  </si>
  <si>
    <t>Trey Sweeney*</t>
  </si>
  <si>
    <t>sweentr01</t>
  </si>
  <si>
    <t>Jace Jung*</t>
  </si>
  <si>
    <t>5H/D4</t>
  </si>
  <si>
    <t>jungja01</t>
  </si>
  <si>
    <t>Dillon Dingler</t>
  </si>
  <si>
    <t>dingldi01</t>
  </si>
  <si>
    <t>Akil Baddoo*</t>
  </si>
  <si>
    <t>7/89H</t>
  </si>
  <si>
    <t>baddoak01</t>
  </si>
  <si>
    <t>Bligh Madris*</t>
  </si>
  <si>
    <t>3/9H</t>
  </si>
  <si>
    <t>madribl01</t>
  </si>
  <si>
    <t>Ryan Kreidler</t>
  </si>
  <si>
    <t>6/5H78D</t>
  </si>
  <si>
    <t>kreidry01</t>
  </si>
  <si>
    <t>Ryan Vilade</t>
  </si>
  <si>
    <t>7/98H3</t>
  </si>
  <si>
    <t>viladry01</t>
  </si>
  <si>
    <t>Buddy Kennedy</t>
  </si>
  <si>
    <t>/4H5</t>
  </si>
  <si>
    <t>kennebu01</t>
  </si>
  <si>
    <t>Jason Foley</t>
  </si>
  <si>
    <t>foleyja01</t>
  </si>
  <si>
    <t>Mason Englert#</t>
  </si>
  <si>
    <t>englema01</t>
  </si>
  <si>
    <t>Tarik Skubal*</t>
  </si>
  <si>
    <t>ASCYA-1MVP-7</t>
  </si>
  <si>
    <t>skubata01</t>
  </si>
  <si>
    <t>Reese Olson</t>
  </si>
  <si>
    <t>olsonre01</t>
  </si>
  <si>
    <t>Kenta Maeda</t>
  </si>
  <si>
    <t>maedake01</t>
  </si>
  <si>
    <t>Jack Flaherty</t>
  </si>
  <si>
    <t>flaheja01</t>
  </si>
  <si>
    <t>Casey Mize</t>
  </si>
  <si>
    <t>mizeca01</t>
  </si>
  <si>
    <t>Keider Montero</t>
  </si>
  <si>
    <t>monteke01</t>
  </si>
  <si>
    <t>Tyler Holton*</t>
  </si>
  <si>
    <t>MVP-15</t>
  </si>
  <si>
    <t>holtoty01</t>
  </si>
  <si>
    <t>Will Vest</t>
  </si>
  <si>
    <t>vestwi01</t>
  </si>
  <si>
    <t>Beau Brieske</t>
  </si>
  <si>
    <t>briesbe01</t>
  </si>
  <si>
    <t>Shelby Miller</t>
  </si>
  <si>
    <t>millesh01</t>
  </si>
  <si>
    <t>Alex Faedo</t>
  </si>
  <si>
    <t>faedoal01</t>
  </si>
  <si>
    <t>Joey Wentz*</t>
  </si>
  <si>
    <t>wentzjo01</t>
  </si>
  <si>
    <t>Brant Hurter*</t>
  </si>
  <si>
    <t>hurtebr01</t>
  </si>
  <si>
    <t>Andrew Chafin*</t>
  </si>
  <si>
    <t>chafian01</t>
  </si>
  <si>
    <t>Brenan Hanifee</t>
  </si>
  <si>
    <t>hanifbr01</t>
  </si>
  <si>
    <t>Matt Manning</t>
  </si>
  <si>
    <t>mannima02</t>
  </si>
  <si>
    <t>Bryan Sammons*</t>
  </si>
  <si>
    <t>sammobr01</t>
  </si>
  <si>
    <t>Ty Madden</t>
  </si>
  <si>
    <t>maddety01</t>
  </si>
  <si>
    <t>Mason Englert</t>
  </si>
  <si>
    <t>Sean Guenther*</t>
  </si>
  <si>
    <t>guentse01</t>
  </si>
  <si>
    <t>Alex Lange</t>
  </si>
  <si>
    <t>langeal01</t>
  </si>
  <si>
    <t>Jackson Jobe</t>
  </si>
  <si>
    <t>jobeja01</t>
  </si>
  <si>
    <t>Easton Lucas*</t>
  </si>
  <si>
    <t>lucasea01</t>
  </si>
  <si>
    <t>Zach McKinstry</t>
  </si>
  <si>
    <t>Ricky Vanasco</t>
  </si>
  <si>
    <t>vanasri01</t>
  </si>
  <si>
    <t>8/HD</t>
  </si>
  <si>
    <t>Michael Lorenzen</t>
  </si>
  <si>
    <t>lorenmi01</t>
  </si>
  <si>
    <t>Brendan White</t>
  </si>
  <si>
    <t>Sawyer Gipson-Long</t>
  </si>
  <si>
    <t>Salvador Perez</t>
  </si>
  <si>
    <t>23D/H</t>
  </si>
  <si>
    <t>ASSS</t>
  </si>
  <si>
    <t>perezsa02</t>
  </si>
  <si>
    <t>Vinnie Pasquantino*</t>
  </si>
  <si>
    <t>3D/H</t>
  </si>
  <si>
    <t>pasquvi01</t>
  </si>
  <si>
    <t>Michael Massey*</t>
  </si>
  <si>
    <t>4HD</t>
  </si>
  <si>
    <t>massemi02</t>
  </si>
  <si>
    <t>Bobby Witt Jr.</t>
  </si>
  <si>
    <t>*6/D</t>
  </si>
  <si>
    <t>ASMVP-2GGSS</t>
  </si>
  <si>
    <t>wittbo02</t>
  </si>
  <si>
    <t>Maikel Garcia</t>
  </si>
  <si>
    <t>*54H/69</t>
  </si>
  <si>
    <t>garcima01</t>
  </si>
  <si>
    <t>MJ Melendez*</t>
  </si>
  <si>
    <t>*7H/D93</t>
  </si>
  <si>
    <t>melenmj01</t>
  </si>
  <si>
    <t>Kyle Isbel*</t>
  </si>
  <si>
    <t>*8H</t>
  </si>
  <si>
    <t>isbelky01</t>
  </si>
  <si>
    <t>Hunter Renfroe</t>
  </si>
  <si>
    <t>*9/HD3</t>
  </si>
  <si>
    <t>renfrhu01</t>
  </si>
  <si>
    <t>Nelson Velázquez</t>
  </si>
  <si>
    <t>D97/H</t>
  </si>
  <si>
    <t>velazne01</t>
  </si>
  <si>
    <t>Freddy Fermin</t>
  </si>
  <si>
    <t>2D/H</t>
  </si>
  <si>
    <t>fermifr01</t>
  </si>
  <si>
    <t>Adam Frazier*</t>
  </si>
  <si>
    <t>4H9D7/53</t>
  </si>
  <si>
    <t>fraziad01</t>
  </si>
  <si>
    <t>Garrett Hampson</t>
  </si>
  <si>
    <t>8H74/36951</t>
  </si>
  <si>
    <t>hampsga01</t>
  </si>
  <si>
    <t>Nick Loftin</t>
  </si>
  <si>
    <t>45H/3D71</t>
  </si>
  <si>
    <t>loftini01</t>
  </si>
  <si>
    <t>Dairon Blanco</t>
  </si>
  <si>
    <t>H798D</t>
  </si>
  <si>
    <t>blancda02</t>
  </si>
  <si>
    <t>5/HD6</t>
  </si>
  <si>
    <t>7/9D</t>
  </si>
  <si>
    <t>Yuli Gurriel</t>
  </si>
  <si>
    <t>3/DH</t>
  </si>
  <si>
    <t>gourryu01</t>
  </si>
  <si>
    <t>D/H79</t>
  </si>
  <si>
    <t>Drew Waters#</t>
  </si>
  <si>
    <t>/97H</t>
  </si>
  <si>
    <t>waterdr01</t>
  </si>
  <si>
    <t>CJ Alexander*</t>
  </si>
  <si>
    <t>alexacj01</t>
  </si>
  <si>
    <t>Tyler Gentry</t>
  </si>
  <si>
    <t>/9H</t>
  </si>
  <si>
    <t>gentrty01</t>
  </si>
  <si>
    <t>Kris Bubic*</t>
  </si>
  <si>
    <t>bubickr01</t>
  </si>
  <si>
    <t>James McArthur</t>
  </si>
  <si>
    <t>mcartja01</t>
  </si>
  <si>
    <t>Hunter Harvey</t>
  </si>
  <si>
    <t>harvehu01</t>
  </si>
  <si>
    <t>Seth Lugo</t>
  </si>
  <si>
    <t>ASCYA-2MVP-15GG</t>
  </si>
  <si>
    <t>lugose01</t>
  </si>
  <si>
    <t>Cole Ragans*</t>
  </si>
  <si>
    <t>ASCYA-4</t>
  </si>
  <si>
    <t>raganco01</t>
  </si>
  <si>
    <t>Brady Singer</t>
  </si>
  <si>
    <t>singebr01</t>
  </si>
  <si>
    <t>Michael Wacha</t>
  </si>
  <si>
    <t>wachami01</t>
  </si>
  <si>
    <t>Alec Marsh</t>
  </si>
  <si>
    <t>marshal01</t>
  </si>
  <si>
    <t>Chris Stratton</t>
  </si>
  <si>
    <t>stratch01</t>
  </si>
  <si>
    <t>Ángel Zerpa*</t>
  </si>
  <si>
    <t>zerpaan01</t>
  </si>
  <si>
    <t>John Schreiber</t>
  </si>
  <si>
    <t>schrejo01</t>
  </si>
  <si>
    <t>Will Smith*</t>
  </si>
  <si>
    <t>smithwi04</t>
  </si>
  <si>
    <t>Daniel Lynch IV*</t>
  </si>
  <si>
    <t>lynchda02</t>
  </si>
  <si>
    <t>Sam Long*</t>
  </si>
  <si>
    <t>longsa01</t>
  </si>
  <si>
    <t>Nick Anderson</t>
  </si>
  <si>
    <t>anderni01</t>
  </si>
  <si>
    <t>Carlos Hernández</t>
  </si>
  <si>
    <t>hernaca04</t>
  </si>
  <si>
    <t>Lucas Erceg</t>
  </si>
  <si>
    <t>erceglu01</t>
  </si>
  <si>
    <t>Matt Sauer</t>
  </si>
  <si>
    <t>sauerma01</t>
  </si>
  <si>
    <t>Tyler Duffey</t>
  </si>
  <si>
    <t>duffety01</t>
  </si>
  <si>
    <t>Will Klein</t>
  </si>
  <si>
    <t>kleinwi01</t>
  </si>
  <si>
    <t>Steven Cruz</t>
  </si>
  <si>
    <t>cruzst01</t>
  </si>
  <si>
    <t>Jordan Lyles</t>
  </si>
  <si>
    <t>lylesjo01</t>
  </si>
  <si>
    <t>Dan Altavilla</t>
  </si>
  <si>
    <t>altavda01</t>
  </si>
  <si>
    <t>Colin Selby</t>
  </si>
  <si>
    <t>selbyco01</t>
  </si>
  <si>
    <t>Jonathan Bowlan</t>
  </si>
  <si>
    <t>bowlajo01</t>
  </si>
  <si>
    <t>Anthony Veneziano*</t>
  </si>
  <si>
    <t>venezan01</t>
  </si>
  <si>
    <t>Nick Pratto*</t>
  </si>
  <si>
    <t>prattni01</t>
  </si>
  <si>
    <t>Walter Pennington*</t>
  </si>
  <si>
    <t>penniwa01</t>
  </si>
  <si>
    <t>Josh Staumont</t>
  </si>
  <si>
    <t>staumjo01</t>
  </si>
  <si>
    <t>Ryan Jeffers</t>
  </si>
  <si>
    <t>2DH</t>
  </si>
  <si>
    <t>jeffery01</t>
  </si>
  <si>
    <t>Carlos Santana#</t>
  </si>
  <si>
    <t>*3/HD</t>
  </si>
  <si>
    <t>santaca01</t>
  </si>
  <si>
    <t>Edouard Julien*</t>
  </si>
  <si>
    <t>4H/D3</t>
  </si>
  <si>
    <t>julieed01</t>
  </si>
  <si>
    <t>Carlos Correa</t>
  </si>
  <si>
    <t>6/DH</t>
  </si>
  <si>
    <t>correca01</t>
  </si>
  <si>
    <t>José Miranda</t>
  </si>
  <si>
    <t>5DH3/6</t>
  </si>
  <si>
    <t>miranjo01</t>
  </si>
  <si>
    <t>Manuel Margot</t>
  </si>
  <si>
    <t>*79H8/D</t>
  </si>
  <si>
    <t>margoma01</t>
  </si>
  <si>
    <t>Byron Buxton</t>
  </si>
  <si>
    <t>buxtoby01</t>
  </si>
  <si>
    <t>Max Kepler*</t>
  </si>
  <si>
    <t>9H/D</t>
  </si>
  <si>
    <t>keplema01</t>
  </si>
  <si>
    <t>Trevor Larnach*</t>
  </si>
  <si>
    <t>7D9H</t>
  </si>
  <si>
    <t>larnatr01</t>
  </si>
  <si>
    <t>Willi Castro#</t>
  </si>
  <si>
    <t>64785/H1</t>
  </si>
  <si>
    <t>castrwi01</t>
  </si>
  <si>
    <t>Royce Lewis</t>
  </si>
  <si>
    <t>5D/H4</t>
  </si>
  <si>
    <t>lewisro02</t>
  </si>
  <si>
    <t>Christian Vázquez</t>
  </si>
  <si>
    <t>2/5DH3</t>
  </si>
  <si>
    <t>vazquch01</t>
  </si>
  <si>
    <t>Matt Wallner*</t>
  </si>
  <si>
    <t>97DH/1</t>
  </si>
  <si>
    <t>wallnma01</t>
  </si>
  <si>
    <t>Austin Martin</t>
  </si>
  <si>
    <t>78H4/D</t>
  </si>
  <si>
    <t>martiau01</t>
  </si>
  <si>
    <t>Kyle Farmer</t>
  </si>
  <si>
    <t>45H6/13D</t>
  </si>
  <si>
    <t>farmeky01</t>
  </si>
  <si>
    <t>Brooks Lee#</t>
  </si>
  <si>
    <t>654/HD</t>
  </si>
  <si>
    <t>leebr02</t>
  </si>
  <si>
    <t>Alex Kirilloff*</t>
  </si>
  <si>
    <t>7D3/H9</t>
  </si>
  <si>
    <t>kirilal01</t>
  </si>
  <si>
    <t>DaShawn Keirsey*</t>
  </si>
  <si>
    <t>/87</t>
  </si>
  <si>
    <t>keirsda01</t>
  </si>
  <si>
    <t>Michael Helman</t>
  </si>
  <si>
    <t>/8H759</t>
  </si>
  <si>
    <t>helmami01</t>
  </si>
  <si>
    <t>Diego Castillo</t>
  </si>
  <si>
    <t>castidi02</t>
  </si>
  <si>
    <t>Jair Camargo</t>
  </si>
  <si>
    <t>/2DH</t>
  </si>
  <si>
    <t>camarja01</t>
  </si>
  <si>
    <t>Pablo López</t>
  </si>
  <si>
    <t>lopezpa01</t>
  </si>
  <si>
    <t>Bailey Ober</t>
  </si>
  <si>
    <t>oberba01</t>
  </si>
  <si>
    <t>Joe Ryan</t>
  </si>
  <si>
    <t>ryanjo04</t>
  </si>
  <si>
    <t>Simeon Woods Richardson</t>
  </si>
  <si>
    <t>woodssi01</t>
  </si>
  <si>
    <t>Chris Paddack</t>
  </si>
  <si>
    <t>paddach01</t>
  </si>
  <si>
    <t>David Festa</t>
  </si>
  <si>
    <t>festada01</t>
  </si>
  <si>
    <t>Jhoan Durán</t>
  </si>
  <si>
    <t>duranjh01</t>
  </si>
  <si>
    <t>Cole Sands</t>
  </si>
  <si>
    <t>sandsco01</t>
  </si>
  <si>
    <t>Griffin Jax</t>
  </si>
  <si>
    <t>jaxgr01</t>
  </si>
  <si>
    <t>Jorge Alcalá</t>
  </si>
  <si>
    <t>alcaljo01</t>
  </si>
  <si>
    <t>Caleb Thielbar*</t>
  </si>
  <si>
    <t>thielca01</t>
  </si>
  <si>
    <t>Louis Varland</t>
  </si>
  <si>
    <t>varlalo01</t>
  </si>
  <si>
    <t>Zebby Matthews</t>
  </si>
  <si>
    <t>matthze01</t>
  </si>
  <si>
    <t>Steven Okert*</t>
  </si>
  <si>
    <t>okertst01</t>
  </si>
  <si>
    <t>Kody Funderburk*</t>
  </si>
  <si>
    <t>fundeko01</t>
  </si>
  <si>
    <t>Jay Jackson</t>
  </si>
  <si>
    <t>jacksja01</t>
  </si>
  <si>
    <t>Scott Blewett</t>
  </si>
  <si>
    <t>blewesc01</t>
  </si>
  <si>
    <t>Ronny Henriquez</t>
  </si>
  <si>
    <t>henriro01</t>
  </si>
  <si>
    <t>Michael Tonkin</t>
  </si>
  <si>
    <t>tonkimi01</t>
  </si>
  <si>
    <t>Brock Stewart</t>
  </si>
  <si>
    <t>stewabr01</t>
  </si>
  <si>
    <t>Trevor Richards</t>
  </si>
  <si>
    <t>richatr01</t>
  </si>
  <si>
    <t>castidi01</t>
  </si>
  <si>
    <t>Randy Dobnak</t>
  </si>
  <si>
    <t>dobnara01</t>
  </si>
  <si>
    <t>Josh Winder</t>
  </si>
  <si>
    <t>windejo01</t>
  </si>
  <si>
    <t>Matt Bowman</t>
  </si>
  <si>
    <t>bowmama01</t>
  </si>
  <si>
    <t>Caleb Boushley</t>
  </si>
  <si>
    <t>boushca01</t>
  </si>
  <si>
    <t>Daniel Duarte</t>
  </si>
  <si>
    <t>duartda01</t>
  </si>
  <si>
    <t>Cole Irvin*</t>
  </si>
  <si>
    <t>irvinco01</t>
  </si>
  <si>
    <t>Brent Headrick*</t>
  </si>
  <si>
    <t>headrbr01</t>
  </si>
  <si>
    <t>Justin Topa</t>
  </si>
  <si>
    <t>topaju01</t>
  </si>
  <si>
    <t>Matt Wallner</t>
  </si>
  <si>
    <t>Willi Castro</t>
  </si>
  <si>
    <t xml:space="preserve">Status </t>
  </si>
  <si>
    <t>Luxury Tax</t>
  </si>
  <si>
    <t>Luxury Tax %</t>
  </si>
  <si>
    <t>Cash Total</t>
  </si>
  <si>
    <t>Payroll Salary</t>
  </si>
  <si>
    <t>Free Agent (yr)</t>
  </si>
  <si>
    <t>Andrew Benintendi</t>
  </si>
  <si>
    <t>Veteran</t>
  </si>
  <si>
    <t>Arbitration 2</t>
  </si>
  <si>
    <t>Arbitration 1</t>
  </si>
  <si>
    <t>Pre-Arbitration</t>
  </si>
  <si>
    <t>Fraser Ellard</t>
  </si>
  <si>
    <t>Arbitration 3 Bypassed</t>
  </si>
  <si>
    <t>Yoan Moncada</t>
  </si>
  <si>
    <t>Nicky Lopez</t>
  </si>
  <si>
    <t>Arbitartion 3 Super Two</t>
  </si>
  <si>
    <t>Arbitration 4</t>
  </si>
  <si>
    <t>Garrett Crochet</t>
  </si>
  <si>
    <t>Gavin Sheets</t>
  </si>
  <si>
    <t xml:space="preserve">RF </t>
  </si>
  <si>
    <t xml:space="preserve">Pre-Arbitration </t>
  </si>
  <si>
    <t>Jared Shuster</t>
  </si>
  <si>
    <t>Dominic Fletcher</t>
  </si>
  <si>
    <t xml:space="preserve">Justin Anderson </t>
  </si>
  <si>
    <t xml:space="preserve">Jonathan Cannon </t>
  </si>
  <si>
    <t xml:space="preserve">Chuckie Robinson </t>
  </si>
  <si>
    <t>Zach DeLoach</t>
  </si>
  <si>
    <t>Jario Iriarte</t>
  </si>
  <si>
    <t>Ky Bush</t>
  </si>
  <si>
    <t>Jake Eder</t>
  </si>
  <si>
    <t>Andres Gimenez</t>
  </si>
  <si>
    <t>Arbitration 1 Bypassed</t>
  </si>
  <si>
    <t>Josh Naylor</t>
  </si>
  <si>
    <t>Arbitration 3 Super Two</t>
  </si>
  <si>
    <t xml:space="preserve">Nick Sandlin </t>
  </si>
  <si>
    <t>Arbitration 1 Super Two</t>
  </si>
  <si>
    <t>Will Brennan</t>
  </si>
  <si>
    <t>Steven Kwan</t>
  </si>
  <si>
    <t xml:space="preserve">Ben Lively </t>
  </si>
  <si>
    <t>Bo Naylor</t>
  </si>
  <si>
    <t xml:space="preserve">David Fry </t>
  </si>
  <si>
    <t>Tim Herrin</t>
  </si>
  <si>
    <t>Bryan Rocchio</t>
  </si>
  <si>
    <t>Daniel Schneemann</t>
  </si>
  <si>
    <t>Angel Martinez</t>
  </si>
  <si>
    <t>Matt Boyd</t>
  </si>
  <si>
    <t>Kyle Manzardo</t>
  </si>
  <si>
    <t>Erik Sabrowski</t>
  </si>
  <si>
    <t xml:space="preserve">Joey Cantillo </t>
  </si>
  <si>
    <t xml:space="preserve">Colt Keith </t>
  </si>
  <si>
    <t>Tarik Skubal</t>
  </si>
  <si>
    <t>Riley Greene</t>
  </si>
  <si>
    <t>Andy Ibanez</t>
  </si>
  <si>
    <t>Kerry Carpenter</t>
  </si>
  <si>
    <t>Tyler Holton</t>
  </si>
  <si>
    <t>Wenceel Perez</t>
  </si>
  <si>
    <t>Parker Meadows</t>
  </si>
  <si>
    <t>Brant Hurter</t>
  </si>
  <si>
    <t>Trey Sweeney</t>
  </si>
  <si>
    <t>Jace Jung</t>
  </si>
  <si>
    <t>Sean Guenther</t>
  </si>
  <si>
    <t>Pre-Arbitration 3 Bypassed</t>
  </si>
  <si>
    <t>Arbitration 2 Super Two</t>
  </si>
  <si>
    <t>Kris Bubic</t>
  </si>
  <si>
    <t>Adam Frazier</t>
  </si>
  <si>
    <t>Carlos Hernandez</t>
  </si>
  <si>
    <t>Kyle Isbel</t>
  </si>
  <si>
    <t>Michael Massey</t>
  </si>
  <si>
    <t>MJ Melendez</t>
  </si>
  <si>
    <t>Cole Ragans</t>
  </si>
  <si>
    <t xml:space="preserve">Freddy Fermin </t>
  </si>
  <si>
    <t>Angel Zerpa</t>
  </si>
  <si>
    <t>Sam Long</t>
  </si>
  <si>
    <t>Robbie Grossman</t>
  </si>
  <si>
    <t>Daniel Lynch</t>
  </si>
  <si>
    <t>Yulieski Gurriel</t>
  </si>
  <si>
    <t>Will Smith</t>
  </si>
  <si>
    <t>Kyle Wright</t>
  </si>
  <si>
    <t>Josh Taylor</t>
  </si>
  <si>
    <t xml:space="preserve">RP </t>
  </si>
  <si>
    <t>Vinnie Pasquantino</t>
  </si>
  <si>
    <t>Christian Vazquez</t>
  </si>
  <si>
    <t xml:space="preserve">Arbitration 3 </t>
  </si>
  <si>
    <t>Carlos Santana</t>
  </si>
  <si>
    <t>Caleb Thielbar</t>
  </si>
  <si>
    <t>Arbitration 4 Super Two</t>
  </si>
  <si>
    <t>RPO</t>
  </si>
  <si>
    <t>Jorge Alcala</t>
  </si>
  <si>
    <t>Jhoan Duran</t>
  </si>
  <si>
    <t>Edouard Julien</t>
  </si>
  <si>
    <t>Brooks Lee</t>
  </si>
  <si>
    <t xml:space="preserve">SP </t>
  </si>
  <si>
    <t>Louie Varland</t>
  </si>
  <si>
    <t>DaShawn Kiersey</t>
  </si>
  <si>
    <t>Max Kepler</t>
  </si>
  <si>
    <t>Anthony DeSclafani</t>
  </si>
  <si>
    <t>Alex Krilloff</t>
  </si>
  <si>
    <t>Jose Miranda</t>
  </si>
  <si>
    <t>Trevor Larnach</t>
  </si>
  <si>
    <t>Team</t>
  </si>
  <si>
    <t>Adjusted Payroll Total</t>
  </si>
  <si>
    <t>Tax Space</t>
  </si>
  <si>
    <t>CWS</t>
  </si>
  <si>
    <t>CLE</t>
  </si>
  <si>
    <t>DET</t>
  </si>
  <si>
    <t>KC</t>
  </si>
  <si>
    <t>MIN</t>
  </si>
  <si>
    <t>Max Stassi</t>
  </si>
  <si>
    <t>Jimmy Lambert</t>
  </si>
  <si>
    <t>Jesse Scholtens</t>
  </si>
  <si>
    <t>Brooks Baldwin</t>
  </si>
  <si>
    <t>Jean Segura</t>
  </si>
  <si>
    <t>Ag</t>
  </si>
  <si>
    <t>José Ramirez</t>
  </si>
  <si>
    <t>José Tena</t>
  </si>
  <si>
    <t>injured players</t>
  </si>
  <si>
    <t>$163,760,04</t>
  </si>
  <si>
    <t>$120,975,159 </t>
  </si>
  <si>
    <t>Pitcher_PositionPlayer</t>
  </si>
  <si>
    <t>PositionPlayer</t>
  </si>
  <si>
    <t>Pitcher</t>
  </si>
  <si>
    <t>Position Player</t>
  </si>
  <si>
    <t>Salary</t>
  </si>
  <si>
    <t>$/WAR</t>
  </si>
  <si>
    <t>OPSValue</t>
  </si>
  <si>
    <t xml:space="preserve">$/WAR </t>
  </si>
  <si>
    <t>Total WAR</t>
  </si>
  <si>
    <t>Total Sal`</t>
  </si>
  <si>
    <t>Total Salary</t>
  </si>
  <si>
    <t>Position</t>
  </si>
  <si>
    <t>Final Thing</t>
  </si>
  <si>
    <t>PP Tot Sal</t>
  </si>
  <si>
    <t>P Tot Sal</t>
  </si>
  <si>
    <t>Tot War</t>
  </si>
  <si>
    <t>Tot Sal</t>
  </si>
  <si>
    <t>PosPlayer Tot WAR</t>
  </si>
  <si>
    <t>Pitcher Tot WAR</t>
  </si>
  <si>
    <t>Select Team</t>
  </si>
  <si>
    <t>Teams</t>
  </si>
  <si>
    <t>Pitcher $/WAR</t>
  </si>
  <si>
    <t>Position $/WAR</t>
  </si>
  <si>
    <t>PitcherBudget</t>
  </si>
  <si>
    <t>PositionBudget</t>
  </si>
  <si>
    <t>PitcherWAR</t>
  </si>
  <si>
    <t>PositionWAR</t>
  </si>
  <si>
    <t>Total Budget</t>
  </si>
  <si>
    <t>Min Pitcher WAR</t>
  </si>
  <si>
    <t>Min Position WAR</t>
  </si>
  <si>
    <t>Role</t>
  </si>
  <si>
    <t>Pitchers</t>
  </si>
  <si>
    <t>Position Players</t>
  </si>
  <si>
    <t>Current Pitcher Budget</t>
  </si>
  <si>
    <t>Current Position Budget</t>
  </si>
  <si>
    <t>Current Pitcher WAR</t>
  </si>
  <si>
    <t>Current Position WAR</t>
  </si>
  <si>
    <t>Current Total WAR</t>
  </si>
  <si>
    <t xml:space="preserve">Budget Optimization </t>
  </si>
  <si>
    <t>Pitcher Budget</t>
  </si>
  <si>
    <t>Position Budget</t>
  </si>
  <si>
    <t>Projected Performance</t>
  </si>
  <si>
    <t>Projected Pitcher WAR</t>
  </si>
  <si>
    <t>Projected Position WAR</t>
  </si>
  <si>
    <t>Projected Total WAR</t>
  </si>
  <si>
    <t>Optimization Results</t>
  </si>
  <si>
    <t>CurrentTotWAR</t>
  </si>
  <si>
    <t>OptimizedTotWAR</t>
  </si>
  <si>
    <t>WARImprovement</t>
  </si>
  <si>
    <t>%Improvement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</si>
</sst>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(&quot;$&quot;* #,##0.00_);_(&quot;$&quot;* \(#,##0.00\);_(&quot;$&quot;* &quot;-&quot;??_);_(@_)"/>
    <numFmt numFmtId="164" formatCode="&quot;$&quot;#,##0"/>
    <numFmt numFmtId="165" formatCode="&quot;$&quot;#,##0.00"/>
    <numFmt numFmtId="166" formatCode="0.0"/>
  </numFmts>
  <fonts count="12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theme="4" tint="-0.249977111117893"/>
      <name val="Aptos Narrow"/>
      <family val="2"/>
      <scheme val="minor"/>
    </font>
    <font>
      <sz val="11"/>
      <color theme="4" tint="-0.249977111117893"/>
      <name val="Aptos Narrow"/>
      <family val="2"/>
      <scheme val="minor"/>
    </font>
    <font>
      <b/>
      <sz val="11"/>
      <color theme="5" tint="-0.249977111117893"/>
      <name val="Aptos Narrow"/>
      <family val="2"/>
      <scheme val="minor"/>
    </font>
    <font>
      <sz val="11"/>
      <color theme="5" tint="-0.249977111117893"/>
      <name val="Aptos Narrow"/>
      <family val="2"/>
      <scheme val="minor"/>
    </font>
    <font>
      <b/>
      <sz val="11"/>
      <color theme="6" tint="-0.249977111117893"/>
      <name val="Aptos Narrow"/>
      <family val="2"/>
      <scheme val="minor"/>
    </font>
    <font>
      <sz val="11"/>
      <color theme="6" tint="-0.249977111117893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8" tint="-0.249977111117893"/>
      <name val="Aptos Narrow"/>
      <family val="2"/>
      <scheme val="minor"/>
    </font>
    <font>
      <b/>
      <sz val="11"/>
      <color theme="8" tint="-0.249977111117893"/>
      <name val="Aptos Narrow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8" tint="0.79998168889431442"/>
        <bgColor theme="8" tint="0.79998168889431442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7CE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n">
        <color theme="1"/>
      </bottom>
      <diagonal/>
    </border>
    <border>
      <left/>
      <right/>
      <top/>
      <bottom style="thin">
        <color theme="4"/>
      </bottom>
      <diagonal/>
    </border>
    <border>
      <left/>
      <right/>
      <top/>
      <bottom style="thin">
        <color theme="5"/>
      </bottom>
      <diagonal/>
    </border>
    <border>
      <left/>
      <right/>
      <top style="thin">
        <color theme="1"/>
      </top>
      <bottom/>
      <diagonal/>
    </border>
    <border>
      <left/>
      <right/>
      <top/>
      <bottom style="thin">
        <color theme="6"/>
      </bottom>
      <diagonal/>
    </border>
    <border>
      <left/>
      <right/>
      <top/>
      <bottom style="thin">
        <color theme="8"/>
      </bottom>
      <diagonal/>
    </border>
    <border>
      <left/>
      <right/>
      <top style="thin">
        <color theme="8"/>
      </top>
      <bottom/>
      <diagonal/>
    </border>
    <border>
      <left/>
      <right/>
      <top style="thin">
        <color theme="6"/>
      </top>
      <bottom/>
      <diagonal/>
    </border>
    <border>
      <left/>
      <right/>
      <top style="thin">
        <color theme="5"/>
      </top>
      <bottom/>
      <diagonal/>
    </border>
    <border>
      <left/>
      <right/>
      <top style="thin">
        <color theme="4"/>
      </top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30">
    <xf numFmtId="0" fontId="0" fillId="0" borderId="0" xfId="0"/>
    <xf numFmtId="164" fontId="0" fillId="0" borderId="0" xfId="0" applyNumberFormat="1"/>
    <xf numFmtId="0" fontId="0" fillId="2" borderId="0" xfId="0" applyFill="1"/>
    <xf numFmtId="0" fontId="4" fillId="3" borderId="0" xfId="0" applyFont="1" applyFill="1"/>
    <xf numFmtId="0" fontId="4" fillId="0" borderId="0" xfId="0" applyFont="1"/>
    <xf numFmtId="0" fontId="4" fillId="0" borderId="2" xfId="0" applyFont="1" applyBorder="1"/>
    <xf numFmtId="0" fontId="6" fillId="4" borderId="0" xfId="0" applyFont="1" applyFill="1"/>
    <xf numFmtId="0" fontId="6" fillId="0" borderId="0" xfId="0" applyFont="1"/>
    <xf numFmtId="0" fontId="6" fillId="0" borderId="3" xfId="0" applyFont="1" applyBorder="1"/>
    <xf numFmtId="0" fontId="8" fillId="5" borderId="0" xfId="0" applyFont="1" applyFill="1"/>
    <xf numFmtId="0" fontId="8" fillId="0" borderId="0" xfId="0" applyFont="1"/>
    <xf numFmtId="0" fontId="8" fillId="0" borderId="5" xfId="0" applyFont="1" applyBorder="1"/>
    <xf numFmtId="0" fontId="8" fillId="5" borderId="5" xfId="0" applyFont="1" applyFill="1" applyBorder="1"/>
    <xf numFmtId="165" fontId="0" fillId="0" borderId="0" xfId="0" applyNumberFormat="1"/>
    <xf numFmtId="0" fontId="10" fillId="6" borderId="0" xfId="0" applyFont="1" applyFill="1"/>
    <xf numFmtId="0" fontId="10" fillId="0" borderId="0" xfId="0" applyFont="1"/>
    <xf numFmtId="0" fontId="10" fillId="6" borderId="6" xfId="0" applyFont="1" applyFill="1" applyBorder="1"/>
    <xf numFmtId="0" fontId="10" fillId="0" borderId="6" xfId="0" applyFont="1" applyBorder="1"/>
    <xf numFmtId="0" fontId="0" fillId="7" borderId="1" xfId="0" applyFill="1" applyBorder="1"/>
    <xf numFmtId="0" fontId="0" fillId="7" borderId="0" xfId="0" applyFill="1"/>
    <xf numFmtId="0" fontId="6" fillId="4" borderId="3" xfId="0" applyFont="1" applyFill="1" applyBorder="1"/>
    <xf numFmtId="0" fontId="0" fillId="8" borderId="0" xfId="0" applyFill="1"/>
    <xf numFmtId="164" fontId="0" fillId="8" borderId="0" xfId="0" applyNumberFormat="1" applyFill="1"/>
    <xf numFmtId="0" fontId="0" fillId="9" borderId="0" xfId="0" applyFill="1"/>
    <xf numFmtId="164" fontId="0" fillId="9" borderId="0" xfId="0" applyNumberFormat="1" applyFill="1"/>
    <xf numFmtId="0" fontId="0" fillId="10" borderId="0" xfId="0" applyFill="1"/>
    <xf numFmtId="164" fontId="0" fillId="10" borderId="0" xfId="0" applyNumberFormat="1" applyFill="1"/>
    <xf numFmtId="0" fontId="0" fillId="11" borderId="0" xfId="0" applyFill="1"/>
    <xf numFmtId="164" fontId="0" fillId="11" borderId="0" xfId="0" applyNumberFormat="1" applyFill="1"/>
    <xf numFmtId="0" fontId="0" fillId="12" borderId="0" xfId="0" applyFill="1"/>
    <xf numFmtId="164" fontId="0" fillId="12" borderId="0" xfId="0" applyNumberFormat="1" applyFill="1"/>
    <xf numFmtId="0" fontId="11" fillId="0" borderId="7" xfId="0" applyFont="1" applyBorder="1"/>
    <xf numFmtId="0" fontId="10" fillId="6" borderId="7" xfId="0" applyFont="1" applyFill="1" applyBorder="1"/>
    <xf numFmtId="0" fontId="3" fillId="0" borderId="4" xfId="0" applyFont="1" applyBorder="1"/>
    <xf numFmtId="164" fontId="3" fillId="0" borderId="4" xfId="0" applyNumberFormat="1" applyFont="1" applyBorder="1"/>
    <xf numFmtId="0" fontId="10" fillId="6" borderId="4" xfId="0" applyFont="1" applyFill="1" applyBorder="1"/>
    <xf numFmtId="164" fontId="10" fillId="6" borderId="4" xfId="0" applyNumberFormat="1" applyFont="1" applyFill="1" applyBorder="1"/>
    <xf numFmtId="10" fontId="10" fillId="6" borderId="4" xfId="0" applyNumberFormat="1" applyFont="1" applyFill="1" applyBorder="1"/>
    <xf numFmtId="164" fontId="10" fillId="0" borderId="0" xfId="0" applyNumberFormat="1" applyFont="1"/>
    <xf numFmtId="10" fontId="10" fillId="0" borderId="0" xfId="0" applyNumberFormat="1" applyFont="1"/>
    <xf numFmtId="164" fontId="10" fillId="6" borderId="0" xfId="0" applyNumberFormat="1" applyFont="1" applyFill="1"/>
    <xf numFmtId="10" fontId="10" fillId="6" borderId="0" xfId="0" applyNumberFormat="1" applyFont="1" applyFill="1"/>
    <xf numFmtId="0" fontId="10" fillId="2" borderId="0" xfId="0" applyFont="1" applyFill="1"/>
    <xf numFmtId="164" fontId="10" fillId="2" borderId="0" xfId="0" applyNumberFormat="1" applyFont="1" applyFill="1"/>
    <xf numFmtId="10" fontId="10" fillId="2" borderId="0" xfId="0" applyNumberFormat="1" applyFont="1" applyFill="1"/>
    <xf numFmtId="0" fontId="10" fillId="2" borderId="6" xfId="0" applyFont="1" applyFill="1" applyBorder="1"/>
    <xf numFmtId="164" fontId="10" fillId="2" borderId="6" xfId="0" applyNumberFormat="1" applyFont="1" applyFill="1" applyBorder="1"/>
    <xf numFmtId="10" fontId="10" fillId="2" borderId="6" xfId="0" applyNumberFormat="1" applyFont="1" applyFill="1" applyBorder="1"/>
    <xf numFmtId="164" fontId="11" fillId="0" borderId="7" xfId="0" applyNumberFormat="1" applyFont="1" applyBorder="1"/>
    <xf numFmtId="164" fontId="10" fillId="6" borderId="7" xfId="0" applyNumberFormat="1" applyFont="1" applyFill="1" applyBorder="1"/>
    <xf numFmtId="164" fontId="10" fillId="6" borderId="6" xfId="0" applyNumberFormat="1" applyFont="1" applyFill="1" applyBorder="1"/>
    <xf numFmtId="0" fontId="8" fillId="5" borderId="4" xfId="0" applyFont="1" applyFill="1" applyBorder="1"/>
    <xf numFmtId="164" fontId="8" fillId="5" borderId="4" xfId="0" applyNumberFormat="1" applyFont="1" applyFill="1" applyBorder="1"/>
    <xf numFmtId="10" fontId="8" fillId="5" borderId="4" xfId="0" applyNumberFormat="1" applyFont="1" applyFill="1" applyBorder="1"/>
    <xf numFmtId="164" fontId="8" fillId="0" borderId="0" xfId="0" applyNumberFormat="1" applyFont="1"/>
    <xf numFmtId="10" fontId="8" fillId="0" borderId="0" xfId="0" applyNumberFormat="1" applyFont="1"/>
    <xf numFmtId="164" fontId="8" fillId="5" borderId="0" xfId="0" applyNumberFormat="1" applyFont="1" applyFill="1"/>
    <xf numFmtId="10" fontId="8" fillId="5" borderId="0" xfId="0" applyNumberFormat="1" applyFont="1" applyFill="1"/>
    <xf numFmtId="0" fontId="8" fillId="2" borderId="0" xfId="0" applyFont="1" applyFill="1"/>
    <xf numFmtId="164" fontId="8" fillId="2" borderId="0" xfId="0" applyNumberFormat="1" applyFont="1" applyFill="1"/>
    <xf numFmtId="10" fontId="8" fillId="2" borderId="0" xfId="0" applyNumberFormat="1" applyFont="1" applyFill="1"/>
    <xf numFmtId="0" fontId="8" fillId="2" borderId="5" xfId="0" applyFont="1" applyFill="1" applyBorder="1"/>
    <xf numFmtId="164" fontId="8" fillId="2" borderId="5" xfId="0" applyNumberFormat="1" applyFont="1" applyFill="1" applyBorder="1"/>
    <xf numFmtId="10" fontId="8" fillId="2" borderId="5" xfId="0" applyNumberFormat="1" applyFont="1" applyFill="1" applyBorder="1"/>
    <xf numFmtId="0" fontId="7" fillId="0" borderId="8" xfId="0" applyFont="1" applyBorder="1"/>
    <xf numFmtId="0" fontId="8" fillId="5" borderId="8" xfId="0" applyFont="1" applyFill="1" applyBorder="1"/>
    <xf numFmtId="164" fontId="7" fillId="0" borderId="8" xfId="0" applyNumberFormat="1" applyFont="1" applyBorder="1"/>
    <xf numFmtId="164" fontId="8" fillId="5" borderId="8" xfId="0" applyNumberFormat="1" applyFont="1" applyFill="1" applyBorder="1"/>
    <xf numFmtId="0" fontId="6" fillId="4" borderId="4" xfId="0" applyFont="1" applyFill="1" applyBorder="1"/>
    <xf numFmtId="164" fontId="6" fillId="4" borderId="4" xfId="0" applyNumberFormat="1" applyFont="1" applyFill="1" applyBorder="1"/>
    <xf numFmtId="10" fontId="6" fillId="4" borderId="4" xfId="0" applyNumberFormat="1" applyFont="1" applyFill="1" applyBorder="1"/>
    <xf numFmtId="164" fontId="6" fillId="0" borderId="0" xfId="0" applyNumberFormat="1" applyFont="1"/>
    <xf numFmtId="10" fontId="6" fillId="0" borderId="0" xfId="0" applyNumberFormat="1" applyFont="1"/>
    <xf numFmtId="164" fontId="6" fillId="4" borderId="0" xfId="0" applyNumberFormat="1" applyFont="1" applyFill="1"/>
    <xf numFmtId="10" fontId="6" fillId="4" borderId="0" xfId="0" applyNumberFormat="1" applyFont="1" applyFill="1"/>
    <xf numFmtId="0" fontId="6" fillId="2" borderId="0" xfId="0" applyFont="1" applyFill="1"/>
    <xf numFmtId="164" fontId="6" fillId="2" borderId="0" xfId="0" applyNumberFormat="1" applyFont="1" applyFill="1"/>
    <xf numFmtId="0" fontId="6" fillId="2" borderId="3" xfId="0" applyFont="1" applyFill="1" applyBorder="1"/>
    <xf numFmtId="164" fontId="6" fillId="2" borderId="3" xfId="0" applyNumberFormat="1" applyFont="1" applyFill="1" applyBorder="1"/>
    <xf numFmtId="0" fontId="5" fillId="0" borderId="9" xfId="0" applyFont="1" applyBorder="1"/>
    <xf numFmtId="0" fontId="6" fillId="4" borderId="9" xfId="0" applyFont="1" applyFill="1" applyBorder="1"/>
    <xf numFmtId="164" fontId="5" fillId="0" borderId="9" xfId="0" applyNumberFormat="1" applyFont="1" applyBorder="1"/>
    <xf numFmtId="164" fontId="6" fillId="4" borderId="9" xfId="0" applyNumberFormat="1" applyFont="1" applyFill="1" applyBorder="1"/>
    <xf numFmtId="164" fontId="6" fillId="4" borderId="3" xfId="0" applyNumberFormat="1" applyFont="1" applyFill="1" applyBorder="1"/>
    <xf numFmtId="0" fontId="3" fillId="0" borderId="10" xfId="0" applyFont="1" applyBorder="1"/>
    <xf numFmtId="0" fontId="4" fillId="3" borderId="10" xfId="0" applyFont="1" applyFill="1" applyBorder="1"/>
    <xf numFmtId="0" fontId="4" fillId="3" borderId="4" xfId="0" applyFont="1" applyFill="1" applyBorder="1"/>
    <xf numFmtId="164" fontId="4" fillId="3" borderId="4" xfId="0" applyNumberFormat="1" applyFont="1" applyFill="1" applyBorder="1"/>
    <xf numFmtId="10" fontId="4" fillId="3" borderId="4" xfId="0" applyNumberFormat="1" applyFont="1" applyFill="1" applyBorder="1"/>
    <xf numFmtId="164" fontId="4" fillId="0" borderId="0" xfId="0" applyNumberFormat="1" applyFont="1"/>
    <xf numFmtId="10" fontId="4" fillId="0" borderId="0" xfId="0" applyNumberFormat="1" applyFont="1"/>
    <xf numFmtId="164" fontId="4" fillId="3" borderId="0" xfId="0" applyNumberFormat="1" applyFont="1" applyFill="1"/>
    <xf numFmtId="10" fontId="4" fillId="3" borderId="0" xfId="0" applyNumberFormat="1" applyFont="1" applyFill="1"/>
    <xf numFmtId="3" fontId="4" fillId="0" borderId="0" xfId="0" applyNumberFormat="1" applyFont="1"/>
    <xf numFmtId="0" fontId="4" fillId="2" borderId="0" xfId="0" applyFont="1" applyFill="1"/>
    <xf numFmtId="164" fontId="4" fillId="2" borderId="0" xfId="0" applyNumberFormat="1" applyFont="1" applyFill="1"/>
    <xf numFmtId="10" fontId="4" fillId="2" borderId="0" xfId="0" applyNumberFormat="1" applyFont="1" applyFill="1"/>
    <xf numFmtId="0" fontId="4" fillId="2" borderId="2" xfId="0" applyFont="1" applyFill="1" applyBorder="1"/>
    <xf numFmtId="164" fontId="4" fillId="2" borderId="2" xfId="0" applyNumberFormat="1" applyFont="1" applyFill="1" applyBorder="1"/>
    <xf numFmtId="10" fontId="4" fillId="2" borderId="2" xfId="0" applyNumberFormat="1" applyFont="1" applyFill="1" applyBorder="1"/>
    <xf numFmtId="164" fontId="3" fillId="0" borderId="10" xfId="0" applyNumberFormat="1" applyFont="1" applyBorder="1"/>
    <xf numFmtId="164" fontId="4" fillId="3" borderId="10" xfId="0" applyNumberFormat="1" applyFont="1" applyFill="1" applyBorder="1"/>
    <xf numFmtId="164" fontId="4" fillId="0" borderId="2" xfId="0" applyNumberFormat="1" applyFont="1" applyBorder="1"/>
    <xf numFmtId="0" fontId="2" fillId="0" borderId="4" xfId="0" applyFont="1" applyBorder="1"/>
    <xf numFmtId="0" fontId="0" fillId="7" borderId="4" xfId="0" applyFill="1" applyBorder="1"/>
    <xf numFmtId="164" fontId="0" fillId="7" borderId="4" xfId="0" applyNumberFormat="1" applyFill="1" applyBorder="1"/>
    <xf numFmtId="10" fontId="0" fillId="7" borderId="4" xfId="0" applyNumberFormat="1" applyFill="1" applyBorder="1"/>
    <xf numFmtId="10" fontId="0" fillId="0" borderId="0" xfId="0" applyNumberFormat="1"/>
    <xf numFmtId="164" fontId="0" fillId="7" borderId="0" xfId="0" applyNumberFormat="1" applyFill="1"/>
    <xf numFmtId="10" fontId="0" fillId="7" borderId="0" xfId="0" applyNumberFormat="1" applyFill="1"/>
    <xf numFmtId="164" fontId="0" fillId="7" borderId="0" xfId="1" applyNumberFormat="1" applyFont="1" applyFill="1"/>
    <xf numFmtId="164" fontId="0" fillId="2" borderId="0" xfId="0" applyNumberFormat="1" applyFill="1"/>
    <xf numFmtId="10" fontId="0" fillId="2" borderId="0" xfId="0" applyNumberFormat="1" applyFill="1"/>
    <xf numFmtId="0" fontId="0" fillId="2" borderId="1" xfId="0" applyFill="1" applyBorder="1"/>
    <xf numFmtId="164" fontId="0" fillId="2" borderId="1" xfId="0" applyNumberFormat="1" applyFill="1" applyBorder="1"/>
    <xf numFmtId="10" fontId="0" fillId="2" borderId="1" xfId="0" applyNumberFormat="1" applyFill="1" applyBorder="1"/>
    <xf numFmtId="164" fontId="2" fillId="0" borderId="4" xfId="0" applyNumberFormat="1" applyFont="1" applyBorder="1"/>
    <xf numFmtId="164" fontId="0" fillId="7" borderId="1" xfId="0" applyNumberFormat="1" applyFill="1" applyBorder="1"/>
    <xf numFmtId="0" fontId="2" fillId="0" borderId="0" xfId="0" applyFont="1"/>
    <xf numFmtId="164" fontId="2" fillId="0" borderId="0" xfId="0" applyNumberFormat="1" applyFont="1"/>
    <xf numFmtId="0" fontId="0" fillId="0" borderId="4" xfId="0" applyBorder="1"/>
    <xf numFmtId="0" fontId="4" fillId="0" borderId="10" xfId="0" applyFont="1" applyBorder="1"/>
    <xf numFmtId="0" fontId="6" fillId="0" borderId="9" xfId="0" applyFont="1" applyBorder="1"/>
    <xf numFmtId="0" fontId="8" fillId="0" borderId="8" xfId="0" applyFont="1" applyBorder="1"/>
    <xf numFmtId="0" fontId="10" fillId="0" borderId="7" xfId="0" applyFont="1" applyBorder="1"/>
    <xf numFmtId="165" fontId="0" fillId="13" borderId="0" xfId="0" applyNumberFormat="1" applyFill="1"/>
    <xf numFmtId="164" fontId="0" fillId="0" borderId="0" xfId="1" applyNumberFormat="1" applyFont="1"/>
    <xf numFmtId="0" fontId="0" fillId="0" borderId="0" xfId="0" applyAlignment="1">
      <alignment horizontal="left" indent="1"/>
    </xf>
    <xf numFmtId="166" fontId="0" fillId="0" borderId="0" xfId="0" applyNumberFormat="1"/>
    <xf numFmtId="9" fontId="0" fillId="0" borderId="0" xfId="2" applyFont="1"/>
  </cellXfs>
  <cellStyles count="3">
    <cellStyle name="Currency" xfId="1" builtinId="4"/>
    <cellStyle name="Normal" xfId="0" builtinId="0"/>
    <cellStyle name="Percent" xfId="2" builtinId="5"/>
  </cellStyles>
  <dxfs count="131">
    <dxf>
      <numFmt numFmtId="164" formatCode="&quot;$&quot;#,##0"/>
    </dxf>
    <dxf>
      <numFmt numFmtId="164" formatCode="&quot;$&quot;#,##0"/>
      <fill>
        <patternFill patternType="solid">
          <fgColor theme="0" tint="-0.14999847407452621"/>
          <bgColor theme="0" tint="-0.14999847407452621"/>
        </patternFill>
      </fill>
    </dxf>
    <dxf>
      <fill>
        <patternFill patternType="solid">
          <fgColor theme="0" tint="-0.14999847407452621"/>
          <bgColor theme="0" tint="-0.14999847407452621"/>
        </patternFill>
      </fill>
    </dxf>
    <dxf>
      <fill>
        <patternFill patternType="solid">
          <fgColor theme="0" tint="-0.14999847407452621"/>
          <bgColor theme="0" tint="-0.14999847407452621"/>
        </patternFill>
      </fill>
    </dxf>
    <dxf>
      <fill>
        <patternFill patternType="solid">
          <fgColor theme="0" tint="-0.14999847407452621"/>
          <bgColor theme="0" tint="-0.14999847407452621"/>
        </patternFill>
      </fill>
    </dxf>
    <dxf>
      <fill>
        <patternFill patternType="solid">
          <fgColor theme="0" tint="-0.14999847407452621"/>
          <bgColor theme="0" tint="-0.14999847407452621"/>
        </patternFill>
      </fill>
    </dxf>
    <dxf>
      <fill>
        <patternFill patternType="solid">
          <fgColor theme="0" tint="-0.14999847407452621"/>
          <bgColor theme="0" tint="-0.14999847407452621"/>
        </patternFill>
      </fill>
    </dxf>
    <dxf>
      <fill>
        <patternFill patternType="solid">
          <fgColor theme="0" tint="-0.14999847407452621"/>
          <bgColor theme="0" tint="-0.14999847407452621"/>
        </patternFill>
      </fill>
    </dxf>
    <dxf>
      <fill>
        <patternFill patternType="solid">
          <fgColor theme="0" tint="-0.14999847407452621"/>
          <bgColor theme="0" tint="-0.14999847407452621"/>
        </patternFill>
      </fill>
    </dxf>
    <dxf>
      <fill>
        <patternFill patternType="solid">
          <fgColor theme="0" tint="-0.14999847407452621"/>
          <bgColor theme="0" tint="-0.14999847407452621"/>
        </patternFill>
      </fill>
    </dxf>
    <dxf>
      <fill>
        <patternFill patternType="solid">
          <fgColor theme="0" tint="-0.14999847407452621"/>
          <bgColor theme="0" tint="-0.14999847407452621"/>
        </patternFill>
      </fill>
    </dxf>
    <dxf>
      <fill>
        <patternFill patternType="solid">
          <fgColor theme="0" tint="-0.14999847407452621"/>
          <bgColor theme="0" tint="-0.14999847407452621"/>
        </patternFill>
      </fill>
    </dxf>
    <dxf>
      <fill>
        <patternFill patternType="solid">
          <fgColor theme="0" tint="-0.14999847407452621"/>
          <bgColor theme="0" tint="-0.14999847407452621"/>
        </patternFill>
      </fill>
    </dxf>
    <dxf>
      <fill>
        <patternFill patternType="solid">
          <fgColor theme="0" tint="-0.14999847407452621"/>
          <bgColor theme="0" tint="-0.14999847407452621"/>
        </patternFill>
      </fill>
    </dxf>
    <dxf>
      <fill>
        <patternFill patternType="solid">
          <fgColor theme="0" tint="-0.14999847407452621"/>
          <bgColor theme="0" tint="-0.14999847407452621"/>
        </patternFill>
      </fill>
    </dxf>
    <dxf>
      <fill>
        <patternFill patternType="solid">
          <fgColor theme="0" tint="-0.14999847407452621"/>
          <bgColor theme="0" tint="-0.14999847407452621"/>
        </patternFill>
      </fill>
    </dxf>
    <dxf>
      <fill>
        <patternFill patternType="solid">
          <fgColor theme="0" tint="-0.14999847407452621"/>
          <bgColor theme="0" tint="-0.14999847407452621"/>
        </patternFill>
      </fill>
    </dxf>
    <dxf>
      <fill>
        <patternFill patternType="solid">
          <fgColor theme="0" tint="-0.14999847407452621"/>
          <bgColor theme="0" tint="-0.14999847407452621"/>
        </patternFill>
      </fill>
    </dxf>
    <dxf>
      <fill>
        <patternFill patternType="solid">
          <fgColor theme="0" tint="-0.14999847407452621"/>
          <bgColor theme="0" tint="-0.14999847407452621"/>
        </patternFill>
      </fill>
    </dxf>
    <dxf>
      <fill>
        <patternFill patternType="solid">
          <fgColor theme="0" tint="-0.14999847407452621"/>
          <bgColor theme="0" tint="-0.14999847407452621"/>
        </patternFill>
      </fill>
    </dxf>
    <dxf>
      <fill>
        <patternFill patternType="solid">
          <fgColor theme="0" tint="-0.14999847407452621"/>
          <bgColor theme="0" tint="-0.14999847407452621"/>
        </patternFill>
      </fill>
    </dxf>
    <dxf>
      <fill>
        <patternFill patternType="solid">
          <fgColor theme="0" tint="-0.14999847407452621"/>
          <bgColor theme="0" tint="-0.14999847407452621"/>
        </patternFill>
      </fill>
    </dxf>
    <dxf>
      <fill>
        <patternFill patternType="solid">
          <fgColor theme="0" tint="-0.14999847407452621"/>
          <bgColor theme="0" tint="-0.14999847407452621"/>
        </patternFill>
      </fill>
    </dxf>
    <dxf>
      <fill>
        <patternFill patternType="solid">
          <fgColor theme="0" tint="-0.14999847407452621"/>
          <bgColor theme="0" tint="-0.14999847407452621"/>
        </patternFill>
      </fill>
    </dxf>
    <dxf>
      <fill>
        <patternFill patternType="solid">
          <fgColor theme="0" tint="-0.14999847407452621"/>
          <bgColor theme="0" tint="-0.14999847407452621"/>
        </patternFill>
      </fill>
    </dxf>
    <dxf>
      <fill>
        <patternFill patternType="solid">
          <fgColor theme="0" tint="-0.14999847407452621"/>
          <bgColor theme="0" tint="-0.14999847407452621"/>
        </patternFill>
      </fill>
    </dxf>
    <dxf>
      <fill>
        <patternFill patternType="solid">
          <fgColor theme="0" tint="-0.14999847407452621"/>
          <bgColor theme="0" tint="-0.14999847407452621"/>
        </patternFill>
      </fill>
    </dxf>
    <dxf>
      <fill>
        <patternFill patternType="solid">
          <fgColor theme="0" tint="-0.14999847407452621"/>
          <bgColor theme="0" tint="-0.14999847407452621"/>
        </patternFill>
      </fill>
    </dxf>
    <dxf>
      <fill>
        <patternFill patternType="solid">
          <fgColor theme="0" tint="-0.14999847407452621"/>
          <bgColor theme="0" tint="-0.14999847407452621"/>
        </patternFill>
      </fill>
    </dxf>
    <dxf>
      <fill>
        <patternFill patternType="solid">
          <fgColor theme="0" tint="-0.14999847407452621"/>
          <bgColor theme="0" tint="-0.14999847407452621"/>
        </patternFill>
      </fill>
    </dxf>
    <dxf>
      <fill>
        <patternFill patternType="solid">
          <fgColor theme="0" tint="-0.14999847407452621"/>
          <bgColor theme="0" tint="-0.14999847407452621"/>
        </patternFill>
      </fill>
    </dxf>
    <dxf>
      <fill>
        <patternFill patternType="solid">
          <fgColor theme="0" tint="-0.14999847407452621"/>
          <bgColor theme="0" tint="-0.14999847407452621"/>
        </patternFill>
      </fill>
    </dxf>
    <dxf>
      <fill>
        <patternFill patternType="solid">
          <fgColor theme="0" tint="-0.14999847407452621"/>
          <bgColor theme="0" tint="-0.14999847407452621"/>
        </patternFill>
      </fill>
    </dxf>
    <dxf>
      <fill>
        <patternFill patternType="solid">
          <fgColor theme="0" tint="-0.14999847407452621"/>
          <bgColor theme="0" tint="-0.14999847407452621"/>
        </patternFill>
      </fill>
    </dxf>
    <dxf>
      <fill>
        <patternFill patternType="solid">
          <fgColor theme="0" tint="-0.14999847407452621"/>
          <bgColor theme="0" tint="-0.14999847407452621"/>
        </patternFill>
      </fill>
    </dxf>
    <dxf>
      <fill>
        <patternFill patternType="solid">
          <fgColor theme="0" tint="-0.14999847407452621"/>
          <bgColor theme="0" tint="-0.14999847407452621"/>
        </patternFill>
      </fill>
    </dxf>
    <dxf>
      <fill>
        <patternFill patternType="solid">
          <fgColor theme="0" tint="-0.14999847407452621"/>
          <bgColor theme="0" tint="-0.14999847407452621"/>
        </patternFill>
      </fill>
    </dxf>
    <dxf>
      <fill>
        <patternFill patternType="solid">
          <fgColor theme="0" tint="-0.14999847407452621"/>
          <bgColor theme="0" tint="-0.14999847407452621"/>
        </patternFill>
      </fill>
    </dxf>
    <dxf>
      <fill>
        <patternFill patternType="solid">
          <fgColor theme="0" tint="-0.14999847407452621"/>
          <bgColor theme="0" tint="-0.14999847407452621"/>
        </patternFill>
      </fill>
    </dxf>
    <dxf>
      <fill>
        <patternFill patternType="solid">
          <fgColor theme="0" tint="-0.14999847407452621"/>
          <bgColor theme="0" tint="-0.14999847407452621"/>
        </patternFill>
      </fill>
    </dxf>
    <dxf>
      <fill>
        <patternFill patternType="solid">
          <fgColor theme="0" tint="-0.14999847407452621"/>
          <bgColor theme="0" tint="-0.14999847407452621"/>
        </patternFill>
      </fill>
    </dxf>
    <dxf>
      <fill>
        <patternFill patternType="solid">
          <fgColor theme="0" tint="-0.14999847407452621"/>
          <bgColor theme="0" tint="-0.1499984740745262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numFmt numFmtId="165" formatCode="&quot;$&quot;#,##0.00"/>
    </dxf>
    <dxf>
      <numFmt numFmtId="165" formatCode="&quot;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Aptos Narrow"/>
        <family val="2"/>
        <scheme val="minor"/>
      </font>
      <numFmt numFmtId="164" formatCode="&quot;$&quot;#,##0"/>
      <fill>
        <patternFill patternType="solid">
          <fgColor theme="8" tint="0.79998168889431442"/>
          <bgColor theme="8" tint="0.79998168889431442"/>
        </patternFill>
      </fill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Aptos Narrow"/>
        <family val="2"/>
        <scheme val="minor"/>
      </font>
      <numFmt numFmtId="0" formatCode="General"/>
      <fill>
        <patternFill patternType="solid">
          <fgColor theme="8" tint="0.79998168889431442"/>
          <bgColor theme="8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Aptos Narrow"/>
        <family val="2"/>
        <scheme val="minor"/>
      </font>
      <numFmt numFmtId="0" formatCode="General"/>
      <fill>
        <patternFill patternType="solid">
          <fgColor theme="8" tint="0.79998168889431442"/>
          <bgColor theme="8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Aptos Narrow"/>
        <family val="2"/>
        <scheme val="minor"/>
      </font>
      <fill>
        <patternFill patternType="solid">
          <fgColor theme="8" tint="0.79998168889431442"/>
          <bgColor theme="8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Aptos Narrow"/>
        <family val="2"/>
        <scheme val="minor"/>
      </font>
      <fill>
        <patternFill patternType="solid">
          <fgColor theme="8" tint="0.79998168889431442"/>
          <bgColor theme="8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Aptos Narrow"/>
        <family val="2"/>
        <scheme val="minor"/>
      </font>
      <fill>
        <patternFill patternType="solid">
          <fgColor theme="8" tint="0.79998168889431442"/>
          <bgColor theme="8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Aptos Narrow"/>
        <family val="2"/>
        <scheme val="minor"/>
      </font>
      <fill>
        <patternFill patternType="solid">
          <fgColor theme="8" tint="0.79998168889431442"/>
          <bgColor theme="8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Aptos Narrow"/>
        <family val="2"/>
        <scheme val="minor"/>
      </font>
      <fill>
        <patternFill patternType="solid">
          <fgColor theme="8" tint="0.79998168889431442"/>
          <bgColor theme="8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Aptos Narrow"/>
        <family val="2"/>
        <scheme val="minor"/>
      </font>
      <fill>
        <patternFill patternType="solid">
          <fgColor theme="8" tint="0.79998168889431442"/>
          <bgColor theme="8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Aptos Narrow"/>
        <family val="2"/>
        <scheme val="minor"/>
      </font>
      <fill>
        <patternFill patternType="solid">
          <fgColor theme="8" tint="0.79998168889431442"/>
          <bgColor theme="8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Aptos Narrow"/>
        <family val="2"/>
        <scheme val="minor"/>
      </font>
      <fill>
        <patternFill patternType="solid">
          <fgColor theme="8" tint="0.79998168889431442"/>
          <bgColor theme="8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Aptos Narrow"/>
        <family val="2"/>
        <scheme val="minor"/>
      </font>
      <fill>
        <patternFill patternType="solid">
          <fgColor theme="8" tint="0.79998168889431442"/>
          <bgColor theme="8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Aptos Narrow"/>
        <family val="2"/>
        <scheme val="minor"/>
      </font>
      <fill>
        <patternFill patternType="solid">
          <fgColor theme="8" tint="0.79998168889431442"/>
          <bgColor theme="8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Aptos Narrow"/>
        <family val="2"/>
        <scheme val="minor"/>
      </font>
      <fill>
        <patternFill patternType="solid">
          <fgColor theme="8" tint="0.79998168889431442"/>
          <bgColor theme="8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Aptos Narrow"/>
        <family val="2"/>
        <scheme val="minor"/>
      </font>
      <fill>
        <patternFill patternType="solid">
          <fgColor theme="8" tint="0.79998168889431442"/>
          <bgColor theme="8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Aptos Narrow"/>
        <family val="2"/>
        <scheme val="minor"/>
      </font>
      <fill>
        <patternFill patternType="solid">
          <fgColor theme="8" tint="0.79998168889431442"/>
          <bgColor theme="8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Aptos Narrow"/>
        <family val="2"/>
        <scheme val="minor"/>
      </font>
      <fill>
        <patternFill patternType="solid">
          <fgColor theme="8" tint="0.79998168889431442"/>
          <bgColor theme="8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Aptos Narrow"/>
        <family val="2"/>
        <scheme val="minor"/>
      </font>
      <fill>
        <patternFill patternType="solid">
          <fgColor theme="8" tint="0.79998168889431442"/>
          <bgColor theme="8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Aptos Narrow"/>
        <family val="2"/>
        <scheme val="minor"/>
      </font>
      <fill>
        <patternFill patternType="solid">
          <fgColor theme="8" tint="0.79998168889431442"/>
          <bgColor theme="8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Aptos Narrow"/>
        <family val="2"/>
        <scheme val="minor"/>
      </font>
      <fill>
        <patternFill patternType="solid">
          <fgColor theme="8" tint="0.79998168889431442"/>
          <bgColor theme="8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Aptos Narrow"/>
        <family val="2"/>
        <scheme val="minor"/>
      </font>
      <fill>
        <patternFill patternType="solid">
          <fgColor theme="8" tint="0.79998168889431442"/>
          <bgColor theme="8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Aptos Narrow"/>
        <family val="2"/>
        <scheme val="minor"/>
      </font>
      <fill>
        <patternFill patternType="solid">
          <fgColor theme="8" tint="0.79998168889431442"/>
          <bgColor theme="8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Aptos Narrow"/>
        <family val="2"/>
        <scheme val="minor"/>
      </font>
      <fill>
        <patternFill patternType="solid">
          <fgColor theme="8" tint="0.79998168889431442"/>
          <bgColor theme="8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Aptos Narrow"/>
        <family val="2"/>
        <scheme val="minor"/>
      </font>
      <fill>
        <patternFill patternType="solid">
          <fgColor theme="8" tint="0.79998168889431442"/>
          <bgColor theme="8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Aptos Narrow"/>
        <family val="2"/>
        <scheme val="minor"/>
      </font>
      <fill>
        <patternFill patternType="solid">
          <fgColor theme="8" tint="0.79998168889431442"/>
          <bgColor theme="8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Aptos Narrow"/>
        <family val="2"/>
        <scheme val="minor"/>
      </font>
      <fill>
        <patternFill patternType="solid">
          <fgColor theme="8" tint="0.79998168889431442"/>
          <bgColor theme="8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Aptos Narrow"/>
        <family val="2"/>
        <scheme val="minor"/>
      </font>
      <fill>
        <patternFill patternType="solid">
          <fgColor theme="8" tint="0.79998168889431442"/>
          <bgColor theme="8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Aptos Narrow"/>
        <family val="2"/>
        <scheme val="minor"/>
      </font>
      <fill>
        <patternFill patternType="solid">
          <fgColor theme="8" tint="0.79998168889431442"/>
          <bgColor theme="8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Aptos Narrow"/>
        <family val="2"/>
        <scheme val="minor"/>
      </font>
      <fill>
        <patternFill patternType="solid">
          <fgColor theme="8" tint="0.79998168889431442"/>
          <bgColor theme="8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Aptos Narrow"/>
        <family val="2"/>
        <scheme val="minor"/>
      </font>
      <fill>
        <patternFill patternType="solid">
          <fgColor theme="8" tint="0.79998168889431442"/>
          <bgColor theme="8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Aptos Narrow"/>
        <family val="2"/>
        <scheme val="minor"/>
      </font>
      <fill>
        <patternFill patternType="solid">
          <fgColor theme="8" tint="0.79998168889431442"/>
          <bgColor theme="8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Aptos Narrow"/>
        <family val="2"/>
        <scheme val="minor"/>
      </font>
      <fill>
        <patternFill patternType="solid">
          <fgColor theme="8" tint="0.79998168889431442"/>
          <bgColor theme="8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Aptos Narrow"/>
        <family val="2"/>
        <scheme val="minor"/>
      </font>
      <fill>
        <patternFill patternType="solid">
          <fgColor theme="8" tint="0.79998168889431442"/>
          <bgColor theme="8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Aptos Narrow"/>
        <family val="2"/>
        <scheme val="minor"/>
      </font>
      <fill>
        <patternFill patternType="solid">
          <fgColor theme="8" tint="0.79998168889431442"/>
          <bgColor theme="8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Aptos Narrow"/>
        <family val="2"/>
        <scheme val="minor"/>
      </font>
      <fill>
        <patternFill patternType="solid">
          <fgColor theme="8" tint="0.79998168889431442"/>
          <bgColor theme="8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Aptos Narrow"/>
        <family val="2"/>
        <scheme val="minor"/>
      </font>
      <fill>
        <patternFill patternType="solid">
          <fgColor theme="8" tint="0.79998168889431442"/>
          <bgColor theme="8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Aptos Narrow"/>
        <family val="2"/>
        <scheme val="minor"/>
      </font>
      <fill>
        <patternFill patternType="solid">
          <fgColor theme="8" tint="0.79998168889431442"/>
          <bgColor theme="8" tint="0.79998168889431442"/>
        </patternFill>
      </fill>
    </dxf>
    <dxf>
      <border outline="0"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color rgb="FF006100"/>
      </font>
      <fill>
        <patternFill>
          <bgColor rgb="FFC6EFCE"/>
        </patternFill>
      </fill>
    </dxf>
    <dxf>
      <numFmt numFmtId="164" formatCode="&quot;$&quot;#,##0"/>
    </dxf>
    <dxf>
      <numFmt numFmtId="164" formatCode="&quot;$&quot;#,##0"/>
    </dxf>
    <dxf>
      <numFmt numFmtId="164" formatCode="&quot;$&quot;#,##0"/>
    </dxf>
    <dxf>
      <numFmt numFmtId="164" formatCode="&quot;$&quot;#,##0"/>
      <fill>
        <patternFill patternType="solid">
          <fgColor theme="0" tint="-0.14999847407452621"/>
          <bgColor theme="0" tint="-0.14999847407452621"/>
        </patternFill>
      </fill>
    </dxf>
    <dxf>
      <fill>
        <patternFill patternType="solid">
          <fgColor theme="0" tint="-0.14999847407452621"/>
          <bgColor theme="0" tint="-0.14999847407452621"/>
        </patternFill>
      </fill>
    </dxf>
    <dxf>
      <fill>
        <patternFill patternType="solid">
          <fgColor theme="0" tint="-0.14999847407452621"/>
          <bgColor theme="0" tint="-0.14999847407452621"/>
        </patternFill>
      </fill>
    </dxf>
    <dxf>
      <fill>
        <patternFill patternType="solid">
          <fgColor theme="0" tint="-0.14999847407452621"/>
          <bgColor theme="0" tint="-0.14999847407452621"/>
        </patternFill>
      </fill>
    </dxf>
    <dxf>
      <fill>
        <patternFill patternType="solid">
          <fgColor theme="0" tint="-0.14999847407452621"/>
          <bgColor theme="0" tint="-0.14999847407452621"/>
        </patternFill>
      </fill>
    </dxf>
    <dxf>
      <fill>
        <patternFill patternType="solid">
          <fgColor theme="0" tint="-0.14999847407452621"/>
          <bgColor theme="0" tint="-0.14999847407452621"/>
        </patternFill>
      </fill>
    </dxf>
    <dxf>
      <fill>
        <patternFill patternType="solid">
          <fgColor theme="0" tint="-0.14999847407452621"/>
          <bgColor theme="0" tint="-0.14999847407452621"/>
        </patternFill>
      </fill>
    </dxf>
    <dxf>
      <fill>
        <patternFill patternType="solid">
          <fgColor theme="0" tint="-0.14999847407452621"/>
          <bgColor theme="0" tint="-0.14999847407452621"/>
        </patternFill>
      </fill>
    </dxf>
    <dxf>
      <fill>
        <patternFill patternType="solid">
          <fgColor theme="0" tint="-0.14999847407452621"/>
          <bgColor theme="0" tint="-0.14999847407452621"/>
        </patternFill>
      </fill>
    </dxf>
    <dxf>
      <fill>
        <patternFill patternType="solid">
          <fgColor theme="0" tint="-0.14999847407452621"/>
          <bgColor theme="0" tint="-0.14999847407452621"/>
        </patternFill>
      </fill>
    </dxf>
    <dxf>
      <fill>
        <patternFill patternType="solid">
          <fgColor theme="0" tint="-0.14999847407452621"/>
          <bgColor theme="0" tint="-0.14999847407452621"/>
        </patternFill>
      </fill>
    </dxf>
    <dxf>
      <fill>
        <patternFill patternType="solid">
          <fgColor theme="0" tint="-0.14999847407452621"/>
          <bgColor theme="0" tint="-0.14999847407452621"/>
        </patternFill>
      </fill>
    </dxf>
    <dxf>
      <fill>
        <patternFill patternType="solid">
          <fgColor theme="0" tint="-0.14999847407452621"/>
          <bgColor theme="0" tint="-0.14999847407452621"/>
        </patternFill>
      </fill>
    </dxf>
    <dxf>
      <fill>
        <patternFill patternType="solid">
          <fgColor theme="0" tint="-0.14999847407452621"/>
          <bgColor theme="0" tint="-0.14999847407452621"/>
        </patternFill>
      </fill>
    </dxf>
    <dxf>
      <fill>
        <patternFill patternType="solid">
          <fgColor theme="0" tint="-0.14999847407452621"/>
          <bgColor theme="0" tint="-0.14999847407452621"/>
        </patternFill>
      </fill>
    </dxf>
    <dxf>
      <fill>
        <patternFill patternType="solid">
          <fgColor theme="0" tint="-0.14999847407452621"/>
          <bgColor theme="0" tint="-0.14999847407452621"/>
        </patternFill>
      </fill>
    </dxf>
    <dxf>
      <fill>
        <patternFill patternType="solid">
          <fgColor theme="0" tint="-0.14999847407452621"/>
          <bgColor theme="0" tint="-0.14999847407452621"/>
        </patternFill>
      </fill>
    </dxf>
    <dxf>
      <fill>
        <patternFill patternType="solid">
          <fgColor theme="0" tint="-0.14999847407452621"/>
          <bgColor theme="0" tint="-0.14999847407452621"/>
        </patternFill>
      </fill>
    </dxf>
    <dxf>
      <fill>
        <patternFill patternType="solid">
          <fgColor theme="0" tint="-0.14999847407452621"/>
          <bgColor theme="0" tint="-0.14999847407452621"/>
        </patternFill>
      </fill>
    </dxf>
    <dxf>
      <fill>
        <patternFill patternType="solid">
          <fgColor theme="0" tint="-0.14999847407452621"/>
          <bgColor theme="0" tint="-0.14999847407452621"/>
        </patternFill>
      </fill>
    </dxf>
    <dxf>
      <fill>
        <patternFill patternType="solid">
          <fgColor theme="0" tint="-0.14999847407452621"/>
          <bgColor theme="0" tint="-0.14999847407452621"/>
        </patternFill>
      </fill>
    </dxf>
    <dxf>
      <fill>
        <patternFill patternType="solid">
          <fgColor theme="0" tint="-0.14999847407452621"/>
          <bgColor theme="0" tint="-0.14999847407452621"/>
        </patternFill>
      </fill>
    </dxf>
    <dxf>
      <fill>
        <patternFill patternType="solid">
          <fgColor theme="0" tint="-0.14999847407452621"/>
          <bgColor theme="0" tint="-0.14999847407452621"/>
        </patternFill>
      </fill>
    </dxf>
    <dxf>
      <fill>
        <patternFill patternType="solid">
          <fgColor theme="0" tint="-0.14999847407452621"/>
          <bgColor theme="0" tint="-0.14999847407452621"/>
        </patternFill>
      </fill>
    </dxf>
    <dxf>
      <fill>
        <patternFill patternType="solid">
          <fgColor theme="0" tint="-0.14999847407452621"/>
          <bgColor theme="0" tint="-0.14999847407452621"/>
        </patternFill>
      </fill>
    </dxf>
    <dxf>
      <fill>
        <patternFill patternType="solid">
          <fgColor theme="0" tint="-0.14999847407452621"/>
          <bgColor theme="0" tint="-0.14999847407452621"/>
        </patternFill>
      </fill>
    </dxf>
    <dxf>
      <fill>
        <patternFill patternType="solid">
          <fgColor theme="0" tint="-0.14999847407452621"/>
          <bgColor theme="0" tint="-0.14999847407452621"/>
        </patternFill>
      </fill>
    </dxf>
    <dxf>
      <fill>
        <patternFill patternType="solid">
          <fgColor theme="0" tint="-0.14999847407452621"/>
          <bgColor theme="0" tint="-0.14999847407452621"/>
        </patternFill>
      </fill>
    </dxf>
    <dxf>
      <fill>
        <patternFill patternType="solid">
          <fgColor theme="0" tint="-0.14999847407452621"/>
          <bgColor theme="0" tint="-0.14999847407452621"/>
        </patternFill>
      </fill>
    </dxf>
    <dxf>
      <fill>
        <patternFill patternType="solid">
          <fgColor theme="0" tint="-0.14999847407452621"/>
          <bgColor theme="0" tint="-0.14999847407452621"/>
        </patternFill>
      </fill>
    </dxf>
    <dxf>
      <fill>
        <patternFill patternType="solid">
          <fgColor theme="0" tint="-0.14999847407452621"/>
          <bgColor theme="0" tint="-0.14999847407452621"/>
        </patternFill>
      </fill>
    </dxf>
    <dxf>
      <fill>
        <patternFill patternType="solid">
          <fgColor theme="0" tint="-0.14999847407452621"/>
          <bgColor theme="0" tint="-0.14999847407452621"/>
        </patternFill>
      </fill>
    </dxf>
    <dxf>
      <fill>
        <patternFill patternType="solid">
          <fgColor theme="0" tint="-0.14999847407452621"/>
          <bgColor theme="0" tint="-0.14999847407452621"/>
        </patternFill>
      </fill>
    </dxf>
    <dxf>
      <fill>
        <patternFill patternType="solid">
          <fgColor theme="0" tint="-0.14999847407452621"/>
          <bgColor theme="0" tint="-0.14999847407452621"/>
        </patternFill>
      </fill>
    </dxf>
    <dxf>
      <fill>
        <patternFill patternType="solid">
          <fgColor theme="0" tint="-0.14999847407452621"/>
          <bgColor theme="0" tint="-0.14999847407452621"/>
        </patternFill>
      </fill>
    </dxf>
    <dxf>
      <fill>
        <patternFill patternType="solid">
          <fgColor theme="0" tint="-0.14999847407452621"/>
          <bgColor theme="0" tint="-0.14999847407452621"/>
        </patternFill>
      </fill>
    </dxf>
    <dxf>
      <fill>
        <patternFill patternType="solid">
          <fgColor theme="0" tint="-0.14999847407452621"/>
          <bgColor theme="0" tint="-0.14999847407452621"/>
        </patternFill>
      </fill>
    </dxf>
    <dxf>
      <border outline="0">
        <top style="thin">
          <color theme="1"/>
        </top>
        <bottom style="thin">
          <color theme="1"/>
        </bottom>
      </border>
    </dxf>
    <dxf>
      <fill>
        <patternFill patternType="solid">
          <fgColor theme="0" tint="-0.14999847407452621"/>
          <bgColor theme="0" tint="-0.1499984740745262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</dxfs>
  <tableStyles count="0" defaultTableStyle="TableStyleMedium2" defaultPivotStyle="PivotStyleLight16"/>
  <colors>
    <mruColors>
      <color rgb="FF0038A8"/>
      <color rgb="FF8FBCFF"/>
      <color rgb="FFCC0000"/>
      <color rgb="FF000066"/>
      <color rgb="FF00259A"/>
      <color rgb="FF163D6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chartsheet" Target="chartsheets/sheet2.xml"/><Relationship Id="rId26" Type="http://schemas.openxmlformats.org/officeDocument/2006/relationships/chartsheet" Target="chartsheets/sheet5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17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hartsheet" Target="chartsheets/sheet1.xml"/><Relationship Id="rId25" Type="http://schemas.openxmlformats.org/officeDocument/2006/relationships/worksheet" Target="worksheets/sheet21.xml"/><Relationship Id="rId33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hartsheet" Target="chartsheets/sheet4.xml"/><Relationship Id="rId29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0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19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hartsheet" Target="chartsheets/sheet3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18.xml"/><Relationship Id="rId27" Type="http://schemas.openxmlformats.org/officeDocument/2006/relationships/chartsheet" Target="chartsheets/sheet6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AL Central Teams 2024: Payroll Comparison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'AL Central Payroll'!$B$1</c:f>
              <c:strCache>
                <c:ptCount val="1"/>
                <c:pt idx="0">
                  <c:v>Adjusted Payroll 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tx1"/>
              </a:solidFill>
              <a:ln>
                <a:solidFill>
                  <a:schemeClr val="bg2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5D7-43C4-B7D0-11E0AE10F533}"/>
              </c:ext>
            </c:extLst>
          </c:dPt>
          <c:dPt>
            <c:idx val="1"/>
            <c:invertIfNegative val="0"/>
            <c:bubble3D val="0"/>
            <c:spPr>
              <a:solidFill>
                <a:srgbClr val="163D64"/>
              </a:solidFill>
              <a:ln>
                <a:solidFill>
                  <a:srgbClr val="CC000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C5D7-43C4-B7D0-11E0AE10F533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2"/>
              </a:solidFill>
              <a:ln>
                <a:solidFill>
                  <a:srgbClr val="000066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5D7-43C4-B7D0-11E0AE10F533}"/>
              </c:ext>
            </c:extLst>
          </c:dPt>
          <c:dPt>
            <c:idx val="3"/>
            <c:invertIfNegative val="0"/>
            <c:bubble3D val="0"/>
            <c:spPr>
              <a:solidFill>
                <a:srgbClr val="8FBCFF"/>
              </a:solidFill>
              <a:ln>
                <a:solidFill>
                  <a:srgbClr val="00259A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C5D7-43C4-B7D0-11E0AE10F533}"/>
              </c:ext>
            </c:extLst>
          </c:dPt>
          <c:dPt>
            <c:idx val="4"/>
            <c:invertIfNegative val="0"/>
            <c:bubble3D val="0"/>
            <c:spPr>
              <a:solidFill>
                <a:srgbClr val="CC0000"/>
              </a:solidFill>
              <a:ln>
                <a:solidFill>
                  <a:srgbClr val="000066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C5D7-43C4-B7D0-11E0AE10F53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'AL Central Payroll'!$A$2:$A$6</c:f>
              <c:strCache>
                <c:ptCount val="5"/>
                <c:pt idx="0">
                  <c:v>CWS</c:v>
                </c:pt>
                <c:pt idx="1">
                  <c:v>CLE</c:v>
                </c:pt>
                <c:pt idx="2">
                  <c:v>DET</c:v>
                </c:pt>
                <c:pt idx="3">
                  <c:v>KC</c:v>
                </c:pt>
                <c:pt idx="4">
                  <c:v>MIN</c:v>
                </c:pt>
              </c:strCache>
            </c:strRef>
          </c:cat>
          <c:val>
            <c:numRef>
              <c:f>'AL Central Payroll'!$B$2:$B$6</c:f>
              <c:numCache>
                <c:formatCode>"$"#,##0</c:formatCode>
                <c:ptCount val="5"/>
                <c:pt idx="0">
                  <c:v>140497547</c:v>
                </c:pt>
                <c:pt idx="1">
                  <c:v>105224582</c:v>
                </c:pt>
                <c:pt idx="2">
                  <c:v>96971614</c:v>
                </c:pt>
                <c:pt idx="3">
                  <c:v>125470914</c:v>
                </c:pt>
                <c:pt idx="4">
                  <c:v>129330051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D7-43C4-B7D0-11E0AE10F53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300740719"/>
        <c:axId val="1300745039"/>
      </c:barChart>
      <c:catAx>
        <c:axId val="130074071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AL Central Teams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0745039"/>
        <c:crosses val="autoZero"/>
        <c:auto val="1"/>
        <c:lblAlgn val="ctr"/>
        <c:lblOffset val="100"/>
        <c:noMultiLvlLbl val="0"/>
      </c:catAx>
      <c:valAx>
        <c:axId val="13007450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Payroll</a:t>
                </a:r>
                <a:r>
                  <a:rPr lang="en-US" baseline="0"/>
                  <a:t> Amount (USD)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07407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AL Central</a:t>
            </a:r>
            <a:r>
              <a:rPr lang="en-US" baseline="0"/>
              <a:t> Position Players: Salary vs. WAR (2024)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1"/>
        <c:ser>
          <c:idx val="1"/>
          <c:order val="0"/>
          <c:tx>
            <c:v>CWS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bg2">
                    <a:lumMod val="75000"/>
                  </a:schemeClr>
                </a:solidFill>
              </a:ln>
              <a:effectLst/>
            </c:spPr>
          </c:marker>
          <c:xVal>
            <c:numRef>
              <c:f>'PositionPlayer Data'!$E$2:$E$26</c:f>
              <c:numCache>
                <c:formatCode>General</c:formatCode>
                <c:ptCount val="8"/>
                <c:pt idx="0">
                  <c:v>1.4</c:v>
                </c:pt>
                <c:pt idx="1">
                  <c:v>0.2</c:v>
                </c:pt>
                <c:pt idx="2">
                  <c:v>0.2</c:v>
                </c:pt>
                <c:pt idx="3">
                  <c:v>0.1</c:v>
                </c:pt>
                <c:pt idx="4">
                  <c:v>0</c:v>
                </c:pt>
                <c:pt idx="5">
                  <c:v>-0.1</c:v>
                </c:pt>
                <c:pt idx="6">
                  <c:v>-0.2</c:v>
                </c:pt>
                <c:pt idx="7">
                  <c:v>-0.8</c:v>
                </c:pt>
              </c:numCache>
            </c:numRef>
          </c:xVal>
          <c:yVal>
            <c:numRef>
              <c:f>'PositionPlayer Data'!$AK$2:$AK$26</c:f>
              <c:numCache>
                <c:formatCode>"$"#,##0</c:formatCode>
                <c:ptCount val="8"/>
                <c:pt idx="0">
                  <c:v>12500000</c:v>
                </c:pt>
                <c:pt idx="1">
                  <c:v>5850000</c:v>
                </c:pt>
                <c:pt idx="2">
                  <c:v>4300000</c:v>
                </c:pt>
                <c:pt idx="3">
                  <c:v>745000</c:v>
                </c:pt>
                <c:pt idx="4">
                  <c:v>171054</c:v>
                </c:pt>
                <c:pt idx="5">
                  <c:v>163098</c:v>
                </c:pt>
                <c:pt idx="6">
                  <c:v>206856</c:v>
                </c:pt>
                <c:pt idx="7">
                  <c:v>17100000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173-4ED2-B748-1707E3040697}"/>
            </c:ext>
          </c:extLst>
        </c:ser>
        <c:ser>
          <c:idx val="2"/>
          <c:order val="1"/>
          <c:tx>
            <c:v>CLE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38A8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'PositionPlayer Data'!$E$31:$E$51</c:f>
              <c:numCache>
                <c:formatCode>General</c:formatCode>
                <c:ptCount val="10"/>
                <c:pt idx="0">
                  <c:v>0.7</c:v>
                </c:pt>
                <c:pt idx="1">
                  <c:v>1.5</c:v>
                </c:pt>
                <c:pt idx="2">
                  <c:v>4</c:v>
                </c:pt>
                <c:pt idx="3">
                  <c:v>6.8</c:v>
                </c:pt>
                <c:pt idx="4">
                  <c:v>4</c:v>
                </c:pt>
                <c:pt idx="5">
                  <c:v>-0.2</c:v>
                </c:pt>
                <c:pt idx="6">
                  <c:v>0.7</c:v>
                </c:pt>
                <c:pt idx="7">
                  <c:v>1</c:v>
                </c:pt>
                <c:pt idx="8">
                  <c:v>0</c:v>
                </c:pt>
                <c:pt idx="9">
                  <c:v>-0.1</c:v>
                </c:pt>
              </c:numCache>
            </c:numRef>
          </c:xVal>
          <c:yVal>
            <c:numRef>
              <c:f>'PositionPlayer Data'!$AK$31:$AK$51</c:f>
              <c:numCache>
                <c:formatCode>"$"#,##0</c:formatCode>
                <c:ptCount val="10"/>
                <c:pt idx="0">
                  <c:v>742100</c:v>
                </c:pt>
                <c:pt idx="1">
                  <c:v>6500000</c:v>
                </c:pt>
                <c:pt idx="2">
                  <c:v>5621429</c:v>
                </c:pt>
                <c:pt idx="3">
                  <c:v>17000000</c:v>
                </c:pt>
                <c:pt idx="4">
                  <c:v>757600</c:v>
                </c:pt>
                <c:pt idx="5">
                  <c:v>776970</c:v>
                </c:pt>
                <c:pt idx="6">
                  <c:v>740000</c:v>
                </c:pt>
                <c:pt idx="7">
                  <c:v>377910</c:v>
                </c:pt>
                <c:pt idx="8">
                  <c:v>282438</c:v>
                </c:pt>
                <c:pt idx="9">
                  <c:v>103062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173-4ED2-B748-1707E3040697}"/>
            </c:ext>
          </c:extLst>
        </c:ser>
        <c:ser>
          <c:idx val="3"/>
          <c:order val="2"/>
          <c:tx>
            <c:v>DET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rgbClr val="002060"/>
                </a:solidFill>
              </a:ln>
              <a:effectLst/>
            </c:spPr>
          </c:marker>
          <c:xVal>
            <c:numRef>
              <c:f>'PositionPlayer Data'!$E$52:$E$69</c:f>
              <c:numCache>
                <c:formatCode>General</c:formatCode>
                <c:ptCount val="11"/>
                <c:pt idx="0">
                  <c:v>1</c:v>
                </c:pt>
                <c:pt idx="1">
                  <c:v>0.3</c:v>
                </c:pt>
                <c:pt idx="2">
                  <c:v>1.1000000000000001</c:v>
                </c:pt>
                <c:pt idx="3">
                  <c:v>-1.1000000000000001</c:v>
                </c:pt>
                <c:pt idx="4">
                  <c:v>5.4</c:v>
                </c:pt>
                <c:pt idx="5">
                  <c:v>2.2000000000000002</c:v>
                </c:pt>
                <c:pt idx="6">
                  <c:v>-0.4</c:v>
                </c:pt>
                <c:pt idx="7">
                  <c:v>3</c:v>
                </c:pt>
                <c:pt idx="8">
                  <c:v>0.7</c:v>
                </c:pt>
                <c:pt idx="9">
                  <c:v>-0.5</c:v>
                </c:pt>
                <c:pt idx="10">
                  <c:v>-0.3</c:v>
                </c:pt>
              </c:numCache>
            </c:numRef>
          </c:xVal>
          <c:yVal>
            <c:numRef>
              <c:f>'PositionPlayer Data'!$AK$52:$AK$69</c:f>
              <c:numCache>
                <c:formatCode>"$"#,##0</c:formatCode>
                <c:ptCount val="11"/>
                <c:pt idx="0">
                  <c:v>1700000</c:v>
                </c:pt>
                <c:pt idx="1">
                  <c:v>456987</c:v>
                </c:pt>
                <c:pt idx="2">
                  <c:v>2833333</c:v>
                </c:pt>
                <c:pt idx="3">
                  <c:v>25000000</c:v>
                </c:pt>
                <c:pt idx="4">
                  <c:v>766300</c:v>
                </c:pt>
                <c:pt idx="5">
                  <c:v>506016</c:v>
                </c:pt>
                <c:pt idx="6">
                  <c:v>306306</c:v>
                </c:pt>
                <c:pt idx="7">
                  <c:v>766000</c:v>
                </c:pt>
                <c:pt idx="8">
                  <c:v>175032</c:v>
                </c:pt>
                <c:pt idx="9">
                  <c:v>175032</c:v>
                </c:pt>
                <c:pt idx="10">
                  <c:v>242658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173-4ED2-B748-1707E3040697}"/>
            </c:ext>
          </c:extLst>
        </c:ser>
        <c:ser>
          <c:idx val="4"/>
          <c:order val="3"/>
          <c:tx>
            <c:v>KC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70C0"/>
                </a:solidFill>
              </a:ln>
              <a:effectLst/>
            </c:spPr>
          </c:marker>
          <c:xVal>
            <c:numRef>
              <c:f>'PositionPlayer Data'!$E$75:$E$89</c:f>
              <c:numCache>
                <c:formatCode>General</c:formatCode>
                <c:ptCount val="9"/>
                <c:pt idx="0">
                  <c:v>2.5</c:v>
                </c:pt>
                <c:pt idx="1">
                  <c:v>1.1000000000000001</c:v>
                </c:pt>
                <c:pt idx="2">
                  <c:v>1.6</c:v>
                </c:pt>
                <c:pt idx="3">
                  <c:v>9.4</c:v>
                </c:pt>
                <c:pt idx="4">
                  <c:v>1.2</c:v>
                </c:pt>
                <c:pt idx="5">
                  <c:v>-0.9</c:v>
                </c:pt>
                <c:pt idx="6">
                  <c:v>1.8</c:v>
                </c:pt>
                <c:pt idx="7">
                  <c:v>0.1</c:v>
                </c:pt>
                <c:pt idx="8">
                  <c:v>0.7</c:v>
                </c:pt>
              </c:numCache>
            </c:numRef>
          </c:xVal>
          <c:yVal>
            <c:numRef>
              <c:f>'PositionPlayer Data'!$AK$75:$AK$89</c:f>
              <c:numCache>
                <c:formatCode>"$"#,##0</c:formatCode>
                <c:ptCount val="9"/>
                <c:pt idx="0">
                  <c:v>20000000</c:v>
                </c:pt>
                <c:pt idx="1">
                  <c:v>752750</c:v>
                </c:pt>
                <c:pt idx="2">
                  <c:v>757000</c:v>
                </c:pt>
                <c:pt idx="3">
                  <c:v>3111111</c:v>
                </c:pt>
                <c:pt idx="4">
                  <c:v>751250</c:v>
                </c:pt>
                <c:pt idx="5">
                  <c:v>754750</c:v>
                </c:pt>
                <c:pt idx="6">
                  <c:v>758250</c:v>
                </c:pt>
                <c:pt idx="7">
                  <c:v>743750</c:v>
                </c:pt>
                <c:pt idx="8">
                  <c:v>714540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173-4ED2-B748-1707E3040697}"/>
            </c:ext>
          </c:extLst>
        </c:ser>
        <c:ser>
          <c:idx val="5"/>
          <c:order val="4"/>
          <c:tx>
            <c:v>MIN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2060"/>
                </a:solidFill>
              </a:ln>
              <a:effectLst/>
            </c:spPr>
          </c:marker>
          <c:xVal>
            <c:numRef>
              <c:f>'PositionPlayer Data'!$E$96:$E$114</c:f>
              <c:numCache>
                <c:formatCode>General</c:formatCode>
                <c:ptCount val="12"/>
                <c:pt idx="0">
                  <c:v>2.1</c:v>
                </c:pt>
                <c:pt idx="1">
                  <c:v>2.5</c:v>
                </c:pt>
                <c:pt idx="2">
                  <c:v>-0.2</c:v>
                </c:pt>
                <c:pt idx="3">
                  <c:v>3.7</c:v>
                </c:pt>
                <c:pt idx="4">
                  <c:v>-0.9</c:v>
                </c:pt>
                <c:pt idx="5">
                  <c:v>1</c:v>
                </c:pt>
                <c:pt idx="6">
                  <c:v>1.3</c:v>
                </c:pt>
                <c:pt idx="7">
                  <c:v>1.6</c:v>
                </c:pt>
                <c:pt idx="8">
                  <c:v>0.7</c:v>
                </c:pt>
                <c:pt idx="9">
                  <c:v>2.2000000000000002</c:v>
                </c:pt>
                <c:pt idx="10">
                  <c:v>-1</c:v>
                </c:pt>
                <c:pt idx="11">
                  <c:v>0.1</c:v>
                </c:pt>
              </c:numCache>
            </c:numRef>
          </c:xVal>
          <c:yVal>
            <c:numRef>
              <c:f>'PositionPlayer Data'!$AK$96:$AK$114</c:f>
              <c:numCache>
                <c:formatCode>"$"#,##0</c:formatCode>
                <c:ptCount val="12"/>
                <c:pt idx="0">
                  <c:v>2425000</c:v>
                </c:pt>
                <c:pt idx="1">
                  <c:v>5500000</c:v>
                </c:pt>
                <c:pt idx="2">
                  <c:v>481800</c:v>
                </c:pt>
                <c:pt idx="3">
                  <c:v>33333333</c:v>
                </c:pt>
                <c:pt idx="4">
                  <c:v>4000000</c:v>
                </c:pt>
                <c:pt idx="5">
                  <c:v>10000000</c:v>
                </c:pt>
                <c:pt idx="6">
                  <c:v>660348</c:v>
                </c:pt>
                <c:pt idx="7">
                  <c:v>3300000</c:v>
                </c:pt>
                <c:pt idx="8">
                  <c:v>745700</c:v>
                </c:pt>
                <c:pt idx="9">
                  <c:v>416832</c:v>
                </c:pt>
                <c:pt idx="10">
                  <c:v>560898</c:v>
                </c:pt>
                <c:pt idx="11">
                  <c:v>51714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173-4ED2-B748-1707E30406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12578591"/>
        <c:axId val="1412578111"/>
      </c:scatterChart>
      <c:valAx>
        <c:axId val="14125785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12578111"/>
        <c:crosses val="autoZero"/>
        <c:crossBetween val="midCat"/>
      </c:valAx>
      <c:valAx>
        <c:axId val="14125781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Player Salary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&quot;$&quot;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1257859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AL Central</a:t>
            </a:r>
            <a:r>
              <a:rPr lang="en-US" baseline="0"/>
              <a:t> Pitchers: Salary vs. WAR (2024)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1"/>
          <c:tx>
            <c:v>CWS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bg2"/>
                </a:solidFill>
              </a:ln>
              <a:effectLst/>
            </c:spPr>
          </c:marker>
          <c:xVal>
            <c:numRef>
              <c:f>'Pitcher Data'!$E$2:$E$35</c:f>
              <c:numCache>
                <c:formatCode>General</c:formatCode>
                <c:ptCount val="17"/>
                <c:pt idx="0">
                  <c:v>1.6</c:v>
                </c:pt>
                <c:pt idx="1">
                  <c:v>4.0999999999999996</c:v>
                </c:pt>
                <c:pt idx="2">
                  <c:v>-0.6</c:v>
                </c:pt>
                <c:pt idx="3">
                  <c:v>0.7</c:v>
                </c:pt>
                <c:pt idx="4">
                  <c:v>1</c:v>
                </c:pt>
                <c:pt idx="5">
                  <c:v>0.9</c:v>
                </c:pt>
                <c:pt idx="6">
                  <c:v>0.1</c:v>
                </c:pt>
                <c:pt idx="7">
                  <c:v>0.2</c:v>
                </c:pt>
                <c:pt idx="8">
                  <c:v>0.3</c:v>
                </c:pt>
                <c:pt idx="9">
                  <c:v>0.4</c:v>
                </c:pt>
                <c:pt idx="10">
                  <c:v>-0.7</c:v>
                </c:pt>
                <c:pt idx="11">
                  <c:v>0.9</c:v>
                </c:pt>
                <c:pt idx="12">
                  <c:v>0.1</c:v>
                </c:pt>
                <c:pt idx="13">
                  <c:v>0.4</c:v>
                </c:pt>
                <c:pt idx="14">
                  <c:v>-0.1</c:v>
                </c:pt>
                <c:pt idx="15">
                  <c:v>0.3</c:v>
                </c:pt>
                <c:pt idx="16">
                  <c:v>0</c:v>
                </c:pt>
              </c:numCache>
            </c:numRef>
          </c:xVal>
          <c:yVal>
            <c:numRef>
              <c:f>'Pitcher Data'!$AN$2:$AN$35</c:f>
              <c:numCache>
                <c:formatCode>"$"#,##0</c:formatCode>
                <c:ptCount val="17"/>
                <c:pt idx="0">
                  <c:v>1750000</c:v>
                </c:pt>
                <c:pt idx="1">
                  <c:v>800000</c:v>
                </c:pt>
                <c:pt idx="2">
                  <c:v>707350</c:v>
                </c:pt>
                <c:pt idx="3">
                  <c:v>3000000</c:v>
                </c:pt>
                <c:pt idx="4">
                  <c:v>636480</c:v>
                </c:pt>
                <c:pt idx="5">
                  <c:v>254592</c:v>
                </c:pt>
                <c:pt idx="6">
                  <c:v>437580</c:v>
                </c:pt>
                <c:pt idx="7">
                  <c:v>242658</c:v>
                </c:pt>
                <c:pt idx="8">
                  <c:v>171054</c:v>
                </c:pt>
                <c:pt idx="9">
                  <c:v>159120</c:v>
                </c:pt>
                <c:pt idx="10">
                  <c:v>1500000</c:v>
                </c:pt>
                <c:pt idx="11">
                  <c:v>75582</c:v>
                </c:pt>
                <c:pt idx="12">
                  <c:v>83538</c:v>
                </c:pt>
                <c:pt idx="13">
                  <c:v>268191</c:v>
                </c:pt>
                <c:pt idx="14">
                  <c:v>3000000</c:v>
                </c:pt>
                <c:pt idx="15">
                  <c:v>108864</c:v>
                </c:pt>
                <c:pt idx="16">
                  <c:v>67626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77E-457C-A6AE-8BE9DB64773C}"/>
            </c:ext>
          </c:extLst>
        </c:ser>
        <c:ser>
          <c:idx val="2"/>
          <c:order val="2"/>
          <c:tx>
            <c:v>CLE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CC0000"/>
                </a:solidFill>
              </a:ln>
              <a:effectLst/>
            </c:spPr>
          </c:marker>
          <c:xVal>
            <c:numRef>
              <c:f>'Pitcher Data'!$E$37:$E$65</c:f>
              <c:numCache>
                <c:formatCode>General</c:formatCode>
                <c:ptCount val="12"/>
                <c:pt idx="0">
                  <c:v>2.7</c:v>
                </c:pt>
                <c:pt idx="1">
                  <c:v>-0.1</c:v>
                </c:pt>
                <c:pt idx="2">
                  <c:v>2.4</c:v>
                </c:pt>
                <c:pt idx="3">
                  <c:v>2.6</c:v>
                </c:pt>
                <c:pt idx="4">
                  <c:v>1.7</c:v>
                </c:pt>
                <c:pt idx="5">
                  <c:v>0.6</c:v>
                </c:pt>
                <c:pt idx="6">
                  <c:v>1.1000000000000001</c:v>
                </c:pt>
                <c:pt idx="7">
                  <c:v>-0.1</c:v>
                </c:pt>
                <c:pt idx="8">
                  <c:v>-0.3</c:v>
                </c:pt>
                <c:pt idx="9">
                  <c:v>0.6</c:v>
                </c:pt>
                <c:pt idx="10">
                  <c:v>0.3</c:v>
                </c:pt>
                <c:pt idx="11">
                  <c:v>0.2</c:v>
                </c:pt>
              </c:numCache>
            </c:numRef>
          </c:xVal>
          <c:yVal>
            <c:numRef>
              <c:f>'Pitcher Data'!$AN$37:$AN$65</c:f>
              <c:numCache>
                <c:formatCode>"$"#,##0</c:formatCode>
                <c:ptCount val="12"/>
                <c:pt idx="0">
                  <c:v>1157584</c:v>
                </c:pt>
                <c:pt idx="1">
                  <c:v>742100</c:v>
                </c:pt>
                <c:pt idx="2">
                  <c:v>1297688</c:v>
                </c:pt>
                <c:pt idx="3">
                  <c:v>1032035</c:v>
                </c:pt>
                <c:pt idx="4">
                  <c:v>740800</c:v>
                </c:pt>
                <c:pt idx="5">
                  <c:v>658296</c:v>
                </c:pt>
                <c:pt idx="6">
                  <c:v>626045</c:v>
                </c:pt>
                <c:pt idx="7">
                  <c:v>119340</c:v>
                </c:pt>
                <c:pt idx="8">
                  <c:v>240893</c:v>
                </c:pt>
                <c:pt idx="9">
                  <c:v>127296</c:v>
                </c:pt>
                <c:pt idx="10">
                  <c:v>67626</c:v>
                </c:pt>
                <c:pt idx="11">
                  <c:v>108060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77E-457C-A6AE-8BE9DB64773C}"/>
            </c:ext>
          </c:extLst>
        </c:ser>
        <c:ser>
          <c:idx val="3"/>
          <c:order val="3"/>
          <c:tx>
            <c:v>DET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rgbClr val="002060"/>
                </a:solidFill>
              </a:ln>
              <a:effectLst/>
            </c:spPr>
          </c:marker>
          <c:xVal>
            <c:numRef>
              <c:f>'Pitcher Data'!$E$67:$E$89</c:f>
              <c:numCache>
                <c:formatCode>General</c:formatCode>
                <c:ptCount val="17"/>
                <c:pt idx="0">
                  <c:v>6.4</c:v>
                </c:pt>
                <c:pt idx="1">
                  <c:v>1.3</c:v>
                </c:pt>
                <c:pt idx="2">
                  <c:v>-1.8</c:v>
                </c:pt>
                <c:pt idx="3">
                  <c:v>0.2</c:v>
                </c:pt>
                <c:pt idx="4">
                  <c:v>0.1</c:v>
                </c:pt>
                <c:pt idx="5">
                  <c:v>0.8</c:v>
                </c:pt>
                <c:pt idx="6">
                  <c:v>3.1</c:v>
                </c:pt>
                <c:pt idx="7">
                  <c:v>1.5</c:v>
                </c:pt>
                <c:pt idx="8">
                  <c:v>0.7</c:v>
                </c:pt>
                <c:pt idx="9">
                  <c:v>0.6</c:v>
                </c:pt>
                <c:pt idx="10">
                  <c:v>1.2</c:v>
                </c:pt>
                <c:pt idx="11">
                  <c:v>0.9</c:v>
                </c:pt>
                <c:pt idx="12">
                  <c:v>-0.1</c:v>
                </c:pt>
                <c:pt idx="13">
                  <c:v>-0.3</c:v>
                </c:pt>
                <c:pt idx="14">
                  <c:v>1</c:v>
                </c:pt>
                <c:pt idx="15">
                  <c:v>-0.6</c:v>
                </c:pt>
                <c:pt idx="16">
                  <c:v>0.1</c:v>
                </c:pt>
              </c:numCache>
            </c:numRef>
          </c:xVal>
          <c:yVal>
            <c:numRef>
              <c:f>'Pitcher Data'!$AN$67:$AN$89</c:f>
              <c:numCache>
                <c:formatCode>"$"#,##0</c:formatCode>
                <c:ptCount val="17"/>
                <c:pt idx="0">
                  <c:v>2650000</c:v>
                </c:pt>
                <c:pt idx="1">
                  <c:v>1013438</c:v>
                </c:pt>
                <c:pt idx="2">
                  <c:v>14000000</c:v>
                </c:pt>
                <c:pt idx="3">
                  <c:v>830000</c:v>
                </c:pt>
                <c:pt idx="4">
                  <c:v>358020</c:v>
                </c:pt>
                <c:pt idx="5">
                  <c:v>766300</c:v>
                </c:pt>
                <c:pt idx="6">
                  <c:v>1080995</c:v>
                </c:pt>
                <c:pt idx="7">
                  <c:v>760700</c:v>
                </c:pt>
                <c:pt idx="8">
                  <c:v>552942</c:v>
                </c:pt>
                <c:pt idx="9">
                  <c:v>746600</c:v>
                </c:pt>
                <c:pt idx="10">
                  <c:v>222768</c:v>
                </c:pt>
                <c:pt idx="11">
                  <c:v>234702</c:v>
                </c:pt>
                <c:pt idx="12">
                  <c:v>135252</c:v>
                </c:pt>
                <c:pt idx="13">
                  <c:v>139230</c:v>
                </c:pt>
                <c:pt idx="14">
                  <c:v>163098</c:v>
                </c:pt>
                <c:pt idx="15">
                  <c:v>233073</c:v>
                </c:pt>
                <c:pt idx="16">
                  <c:v>19890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77E-457C-A6AE-8BE9DB64773C}"/>
            </c:ext>
          </c:extLst>
        </c:ser>
        <c:ser>
          <c:idx val="4"/>
          <c:order val="4"/>
          <c:tx>
            <c:v>KC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8FBCFF"/>
              </a:solidFill>
              <a:ln w="9525">
                <a:solidFill>
                  <a:srgbClr val="00259A"/>
                </a:solidFill>
              </a:ln>
              <a:effectLst/>
            </c:spPr>
          </c:marker>
          <c:xVal>
            <c:numRef>
              <c:f>'Pitcher Data'!$E$93:$E$120</c:f>
              <c:numCache>
                <c:formatCode>General</c:formatCode>
                <c:ptCount val="15"/>
                <c:pt idx="0">
                  <c:v>5.4</c:v>
                </c:pt>
                <c:pt idx="1">
                  <c:v>5</c:v>
                </c:pt>
                <c:pt idx="2">
                  <c:v>3.1</c:v>
                </c:pt>
                <c:pt idx="3">
                  <c:v>3.4</c:v>
                </c:pt>
                <c:pt idx="4">
                  <c:v>0.8</c:v>
                </c:pt>
                <c:pt idx="5">
                  <c:v>-0.5</c:v>
                </c:pt>
                <c:pt idx="6">
                  <c:v>-0.7</c:v>
                </c:pt>
                <c:pt idx="7">
                  <c:v>0.5</c:v>
                </c:pt>
                <c:pt idx="8">
                  <c:v>-0.9</c:v>
                </c:pt>
                <c:pt idx="9">
                  <c:v>0.7</c:v>
                </c:pt>
                <c:pt idx="10">
                  <c:v>0.8</c:v>
                </c:pt>
                <c:pt idx="11">
                  <c:v>1.2</c:v>
                </c:pt>
                <c:pt idx="12">
                  <c:v>0.8</c:v>
                </c:pt>
                <c:pt idx="13">
                  <c:v>-0.2</c:v>
                </c:pt>
                <c:pt idx="14">
                  <c:v>0</c:v>
                </c:pt>
              </c:numCache>
            </c:numRef>
          </c:xVal>
          <c:yVal>
            <c:numRef>
              <c:f>'Pitcher Data'!$AN$93:$AN$120</c:f>
              <c:numCache>
                <c:formatCode>"$"#,##0</c:formatCode>
                <c:ptCount val="15"/>
                <c:pt idx="0">
                  <c:v>15000000</c:v>
                </c:pt>
                <c:pt idx="1">
                  <c:v>2391763</c:v>
                </c:pt>
                <c:pt idx="2">
                  <c:v>4850000</c:v>
                </c:pt>
                <c:pt idx="3">
                  <c:v>16450000</c:v>
                </c:pt>
                <c:pt idx="4">
                  <c:v>620620</c:v>
                </c:pt>
                <c:pt idx="5">
                  <c:v>745750</c:v>
                </c:pt>
                <c:pt idx="6">
                  <c:v>3500000</c:v>
                </c:pt>
                <c:pt idx="7">
                  <c:v>1175000</c:v>
                </c:pt>
                <c:pt idx="8">
                  <c:v>5625000</c:v>
                </c:pt>
                <c:pt idx="9">
                  <c:v>525096</c:v>
                </c:pt>
                <c:pt idx="10">
                  <c:v>2350000</c:v>
                </c:pt>
                <c:pt idx="11">
                  <c:v>2800028</c:v>
                </c:pt>
                <c:pt idx="12">
                  <c:v>750000</c:v>
                </c:pt>
                <c:pt idx="13">
                  <c:v>962500</c:v>
                </c:pt>
                <c:pt idx="14">
                  <c:v>2000000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77E-457C-A6AE-8BE9DB64773C}"/>
            </c:ext>
          </c:extLst>
        </c:ser>
        <c:ser>
          <c:idx val="5"/>
          <c:order val="5"/>
          <c:tx>
            <c:v>MIN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CC0000"/>
              </a:solidFill>
              <a:ln w="9525">
                <a:solidFill>
                  <a:srgbClr val="000066"/>
                </a:solidFill>
              </a:ln>
              <a:effectLst/>
            </c:spPr>
          </c:marker>
          <c:xVal>
            <c:numRef>
              <c:f>'Pitcher Data'!$E$124:$E$154</c:f>
              <c:numCache>
                <c:formatCode>General</c:formatCode>
                <c:ptCount val="16"/>
                <c:pt idx="0">
                  <c:v>2.5</c:v>
                </c:pt>
                <c:pt idx="1">
                  <c:v>2.9</c:v>
                </c:pt>
                <c:pt idx="2">
                  <c:v>2</c:v>
                </c:pt>
                <c:pt idx="3">
                  <c:v>0.4</c:v>
                </c:pt>
                <c:pt idx="4">
                  <c:v>0.2</c:v>
                </c:pt>
                <c:pt idx="5">
                  <c:v>1.3</c:v>
                </c:pt>
                <c:pt idx="6">
                  <c:v>1.4</c:v>
                </c:pt>
                <c:pt idx="7">
                  <c:v>-1.4</c:v>
                </c:pt>
                <c:pt idx="8">
                  <c:v>0.2</c:v>
                </c:pt>
                <c:pt idx="9">
                  <c:v>0.8</c:v>
                </c:pt>
                <c:pt idx="10">
                  <c:v>0.3</c:v>
                </c:pt>
                <c:pt idx="11">
                  <c:v>0.2</c:v>
                </c:pt>
                <c:pt idx="12">
                  <c:v>0.2</c:v>
                </c:pt>
                <c:pt idx="13">
                  <c:v>0</c:v>
                </c:pt>
                <c:pt idx="14">
                  <c:v>0</c:v>
                </c:pt>
                <c:pt idx="15">
                  <c:v>0.1</c:v>
                </c:pt>
              </c:numCache>
            </c:numRef>
          </c:xVal>
          <c:yVal>
            <c:numRef>
              <c:f>'Pitcher Data'!$AN$124:$AN$154</c:f>
              <c:numCache>
                <c:formatCode>"$"#,##0</c:formatCode>
                <c:ptCount val="16"/>
                <c:pt idx="0">
                  <c:v>1142935</c:v>
                </c:pt>
                <c:pt idx="1">
                  <c:v>1089904</c:v>
                </c:pt>
                <c:pt idx="2">
                  <c:v>2525000</c:v>
                </c:pt>
                <c:pt idx="3">
                  <c:v>306306</c:v>
                </c:pt>
                <c:pt idx="4">
                  <c:v>749450</c:v>
                </c:pt>
                <c:pt idx="5">
                  <c:v>1114602</c:v>
                </c:pt>
                <c:pt idx="6">
                  <c:v>3225000</c:v>
                </c:pt>
                <c:pt idx="7">
                  <c:v>186966</c:v>
                </c:pt>
                <c:pt idx="8">
                  <c:v>159120</c:v>
                </c:pt>
                <c:pt idx="9">
                  <c:v>179010</c:v>
                </c:pt>
                <c:pt idx="10">
                  <c:v>177408</c:v>
                </c:pt>
                <c:pt idx="11">
                  <c:v>900000</c:v>
                </c:pt>
                <c:pt idx="12">
                  <c:v>2250000</c:v>
                </c:pt>
                <c:pt idx="13">
                  <c:v>6250000</c:v>
                </c:pt>
                <c:pt idx="14">
                  <c:v>750000</c:v>
                </c:pt>
                <c:pt idx="15">
                  <c:v>1250000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77E-457C-A6AE-8BE9DB6477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33503"/>
        <c:axId val="663494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'Pitcher Data'!$AN$1</c15:sqref>
                        </c15:formulaRef>
                      </c:ext>
                    </c:extLst>
                    <c:strCache>
                      <c:ptCount val="1"/>
                      <c:pt idx="0">
                        <c:v>Salary</c:v>
                      </c:pt>
                    </c:strCache>
                  </c:strRef>
                </c:tx>
                <c:spPr>
                  <a:ln w="381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'Pitcher Data'!$E$2:$E$154</c15:sqref>
                        </c15:formulaRef>
                      </c:ext>
                    </c:extLst>
                    <c:numCache>
                      <c:formatCode>General</c:formatCode>
                      <c:ptCount val="77"/>
                      <c:pt idx="0">
                        <c:v>1.6</c:v>
                      </c:pt>
                      <c:pt idx="1">
                        <c:v>4.0999999999999996</c:v>
                      </c:pt>
                      <c:pt idx="2">
                        <c:v>-0.6</c:v>
                      </c:pt>
                      <c:pt idx="3">
                        <c:v>0.7</c:v>
                      </c:pt>
                      <c:pt idx="4">
                        <c:v>1</c:v>
                      </c:pt>
                      <c:pt idx="5">
                        <c:v>0.9</c:v>
                      </c:pt>
                      <c:pt idx="6">
                        <c:v>0.1</c:v>
                      </c:pt>
                      <c:pt idx="7">
                        <c:v>0.2</c:v>
                      </c:pt>
                      <c:pt idx="8">
                        <c:v>0.3</c:v>
                      </c:pt>
                      <c:pt idx="9">
                        <c:v>0.4</c:v>
                      </c:pt>
                      <c:pt idx="10">
                        <c:v>-0.7</c:v>
                      </c:pt>
                      <c:pt idx="11">
                        <c:v>0.9</c:v>
                      </c:pt>
                      <c:pt idx="12">
                        <c:v>0.1</c:v>
                      </c:pt>
                      <c:pt idx="13">
                        <c:v>0.4</c:v>
                      </c:pt>
                      <c:pt idx="14">
                        <c:v>-0.1</c:v>
                      </c:pt>
                      <c:pt idx="15">
                        <c:v>0.3</c:v>
                      </c:pt>
                      <c:pt idx="16">
                        <c:v>0</c:v>
                      </c:pt>
                      <c:pt idx="17">
                        <c:v>2.7</c:v>
                      </c:pt>
                      <c:pt idx="18">
                        <c:v>-0.1</c:v>
                      </c:pt>
                      <c:pt idx="19">
                        <c:v>2.4</c:v>
                      </c:pt>
                      <c:pt idx="20">
                        <c:v>2.6</c:v>
                      </c:pt>
                      <c:pt idx="21">
                        <c:v>1.7</c:v>
                      </c:pt>
                      <c:pt idx="22">
                        <c:v>0.6</c:v>
                      </c:pt>
                      <c:pt idx="23">
                        <c:v>1.1000000000000001</c:v>
                      </c:pt>
                      <c:pt idx="24">
                        <c:v>-0.1</c:v>
                      </c:pt>
                      <c:pt idx="25">
                        <c:v>-0.3</c:v>
                      </c:pt>
                      <c:pt idx="26">
                        <c:v>0.6</c:v>
                      </c:pt>
                      <c:pt idx="27">
                        <c:v>0.3</c:v>
                      </c:pt>
                      <c:pt idx="28">
                        <c:v>0.2</c:v>
                      </c:pt>
                      <c:pt idx="29">
                        <c:v>6.4</c:v>
                      </c:pt>
                      <c:pt idx="30">
                        <c:v>1.3</c:v>
                      </c:pt>
                      <c:pt idx="31">
                        <c:v>-1.8</c:v>
                      </c:pt>
                      <c:pt idx="32">
                        <c:v>0.2</c:v>
                      </c:pt>
                      <c:pt idx="33">
                        <c:v>0.1</c:v>
                      </c:pt>
                      <c:pt idx="34">
                        <c:v>0.8</c:v>
                      </c:pt>
                      <c:pt idx="35">
                        <c:v>3.1</c:v>
                      </c:pt>
                      <c:pt idx="36">
                        <c:v>1.5</c:v>
                      </c:pt>
                      <c:pt idx="37">
                        <c:v>0.7</c:v>
                      </c:pt>
                      <c:pt idx="38">
                        <c:v>0.6</c:v>
                      </c:pt>
                      <c:pt idx="39">
                        <c:v>1.2</c:v>
                      </c:pt>
                      <c:pt idx="40">
                        <c:v>0.9</c:v>
                      </c:pt>
                      <c:pt idx="41">
                        <c:v>-0.1</c:v>
                      </c:pt>
                      <c:pt idx="42">
                        <c:v>-0.3</c:v>
                      </c:pt>
                      <c:pt idx="43">
                        <c:v>1</c:v>
                      </c:pt>
                      <c:pt idx="44">
                        <c:v>-0.6</c:v>
                      </c:pt>
                      <c:pt idx="45">
                        <c:v>0.1</c:v>
                      </c:pt>
                      <c:pt idx="46">
                        <c:v>5.4</c:v>
                      </c:pt>
                      <c:pt idx="47">
                        <c:v>5</c:v>
                      </c:pt>
                      <c:pt idx="48">
                        <c:v>3.1</c:v>
                      </c:pt>
                      <c:pt idx="49">
                        <c:v>3.4</c:v>
                      </c:pt>
                      <c:pt idx="50">
                        <c:v>0.8</c:v>
                      </c:pt>
                      <c:pt idx="51">
                        <c:v>-0.5</c:v>
                      </c:pt>
                      <c:pt idx="52">
                        <c:v>-0.7</c:v>
                      </c:pt>
                      <c:pt idx="53">
                        <c:v>0.5</c:v>
                      </c:pt>
                      <c:pt idx="54">
                        <c:v>-0.9</c:v>
                      </c:pt>
                      <c:pt idx="55">
                        <c:v>0.7</c:v>
                      </c:pt>
                      <c:pt idx="56">
                        <c:v>0.8</c:v>
                      </c:pt>
                      <c:pt idx="57">
                        <c:v>1.2</c:v>
                      </c:pt>
                      <c:pt idx="58">
                        <c:v>0.8</c:v>
                      </c:pt>
                      <c:pt idx="59">
                        <c:v>-0.2</c:v>
                      </c:pt>
                      <c:pt idx="60">
                        <c:v>0</c:v>
                      </c:pt>
                      <c:pt idx="61">
                        <c:v>2.5</c:v>
                      </c:pt>
                      <c:pt idx="62">
                        <c:v>2.9</c:v>
                      </c:pt>
                      <c:pt idx="63">
                        <c:v>2</c:v>
                      </c:pt>
                      <c:pt idx="64">
                        <c:v>0.4</c:v>
                      </c:pt>
                      <c:pt idx="65">
                        <c:v>0.2</c:v>
                      </c:pt>
                      <c:pt idx="66">
                        <c:v>1.3</c:v>
                      </c:pt>
                      <c:pt idx="67">
                        <c:v>1.4</c:v>
                      </c:pt>
                      <c:pt idx="68">
                        <c:v>-1.4</c:v>
                      </c:pt>
                      <c:pt idx="69">
                        <c:v>0.2</c:v>
                      </c:pt>
                      <c:pt idx="70">
                        <c:v>0.8</c:v>
                      </c:pt>
                      <c:pt idx="71">
                        <c:v>0.3</c:v>
                      </c:pt>
                      <c:pt idx="72">
                        <c:v>0.2</c:v>
                      </c:pt>
                      <c:pt idx="73">
                        <c:v>0.2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0.1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'Pitcher Data'!$AN$2:$AN$154</c15:sqref>
                        </c15:formulaRef>
                      </c:ext>
                    </c:extLst>
                    <c:numCache>
                      <c:formatCode>"$"#,##0</c:formatCode>
                      <c:ptCount val="77"/>
                      <c:pt idx="0">
                        <c:v>1750000</c:v>
                      </c:pt>
                      <c:pt idx="1">
                        <c:v>800000</c:v>
                      </c:pt>
                      <c:pt idx="2">
                        <c:v>707350</c:v>
                      </c:pt>
                      <c:pt idx="3">
                        <c:v>3000000</c:v>
                      </c:pt>
                      <c:pt idx="4">
                        <c:v>636480</c:v>
                      </c:pt>
                      <c:pt idx="5">
                        <c:v>254592</c:v>
                      </c:pt>
                      <c:pt idx="6">
                        <c:v>437580</c:v>
                      </c:pt>
                      <c:pt idx="7">
                        <c:v>242658</c:v>
                      </c:pt>
                      <c:pt idx="8">
                        <c:v>171054</c:v>
                      </c:pt>
                      <c:pt idx="9">
                        <c:v>159120</c:v>
                      </c:pt>
                      <c:pt idx="10">
                        <c:v>1500000</c:v>
                      </c:pt>
                      <c:pt idx="11">
                        <c:v>75582</c:v>
                      </c:pt>
                      <c:pt idx="12">
                        <c:v>83538</c:v>
                      </c:pt>
                      <c:pt idx="13">
                        <c:v>268191</c:v>
                      </c:pt>
                      <c:pt idx="14">
                        <c:v>3000000</c:v>
                      </c:pt>
                      <c:pt idx="15">
                        <c:v>108864</c:v>
                      </c:pt>
                      <c:pt idx="16">
                        <c:v>67626</c:v>
                      </c:pt>
                      <c:pt idx="17">
                        <c:v>1157584</c:v>
                      </c:pt>
                      <c:pt idx="18">
                        <c:v>742100</c:v>
                      </c:pt>
                      <c:pt idx="19">
                        <c:v>1297688</c:v>
                      </c:pt>
                      <c:pt idx="20">
                        <c:v>1032035</c:v>
                      </c:pt>
                      <c:pt idx="21">
                        <c:v>740800</c:v>
                      </c:pt>
                      <c:pt idx="22">
                        <c:v>658296</c:v>
                      </c:pt>
                      <c:pt idx="23">
                        <c:v>626045</c:v>
                      </c:pt>
                      <c:pt idx="24">
                        <c:v>119340</c:v>
                      </c:pt>
                      <c:pt idx="25">
                        <c:v>240893</c:v>
                      </c:pt>
                      <c:pt idx="26">
                        <c:v>127296</c:v>
                      </c:pt>
                      <c:pt idx="27">
                        <c:v>67626</c:v>
                      </c:pt>
                      <c:pt idx="28">
                        <c:v>108060</c:v>
                      </c:pt>
                      <c:pt idx="29">
                        <c:v>2650000</c:v>
                      </c:pt>
                      <c:pt idx="30">
                        <c:v>1013438</c:v>
                      </c:pt>
                      <c:pt idx="31">
                        <c:v>14000000</c:v>
                      </c:pt>
                      <c:pt idx="32">
                        <c:v>830000</c:v>
                      </c:pt>
                      <c:pt idx="33">
                        <c:v>358020</c:v>
                      </c:pt>
                      <c:pt idx="34">
                        <c:v>766300</c:v>
                      </c:pt>
                      <c:pt idx="35">
                        <c:v>1080995</c:v>
                      </c:pt>
                      <c:pt idx="36">
                        <c:v>760700</c:v>
                      </c:pt>
                      <c:pt idx="37">
                        <c:v>552942</c:v>
                      </c:pt>
                      <c:pt idx="38">
                        <c:v>746600</c:v>
                      </c:pt>
                      <c:pt idx="39">
                        <c:v>222768</c:v>
                      </c:pt>
                      <c:pt idx="40">
                        <c:v>234702</c:v>
                      </c:pt>
                      <c:pt idx="41">
                        <c:v>135252</c:v>
                      </c:pt>
                      <c:pt idx="42">
                        <c:v>139230</c:v>
                      </c:pt>
                      <c:pt idx="43">
                        <c:v>163098</c:v>
                      </c:pt>
                      <c:pt idx="44">
                        <c:v>233073</c:v>
                      </c:pt>
                      <c:pt idx="45">
                        <c:v>19890</c:v>
                      </c:pt>
                      <c:pt idx="46">
                        <c:v>15000000</c:v>
                      </c:pt>
                      <c:pt idx="47">
                        <c:v>2391763</c:v>
                      </c:pt>
                      <c:pt idx="48">
                        <c:v>4850000</c:v>
                      </c:pt>
                      <c:pt idx="49">
                        <c:v>16450000</c:v>
                      </c:pt>
                      <c:pt idx="50">
                        <c:v>620620</c:v>
                      </c:pt>
                      <c:pt idx="51">
                        <c:v>745750</c:v>
                      </c:pt>
                      <c:pt idx="52">
                        <c:v>3500000</c:v>
                      </c:pt>
                      <c:pt idx="53">
                        <c:v>1175000</c:v>
                      </c:pt>
                      <c:pt idx="54">
                        <c:v>5625000</c:v>
                      </c:pt>
                      <c:pt idx="55">
                        <c:v>525096</c:v>
                      </c:pt>
                      <c:pt idx="56">
                        <c:v>2350000</c:v>
                      </c:pt>
                      <c:pt idx="57">
                        <c:v>2800028</c:v>
                      </c:pt>
                      <c:pt idx="58">
                        <c:v>750000</c:v>
                      </c:pt>
                      <c:pt idx="59">
                        <c:v>962500</c:v>
                      </c:pt>
                      <c:pt idx="60">
                        <c:v>2000000</c:v>
                      </c:pt>
                      <c:pt idx="61">
                        <c:v>1142935</c:v>
                      </c:pt>
                      <c:pt idx="62">
                        <c:v>1089904</c:v>
                      </c:pt>
                      <c:pt idx="63">
                        <c:v>2525000</c:v>
                      </c:pt>
                      <c:pt idx="64">
                        <c:v>306306</c:v>
                      </c:pt>
                      <c:pt idx="65">
                        <c:v>749450</c:v>
                      </c:pt>
                      <c:pt idx="66">
                        <c:v>1114602</c:v>
                      </c:pt>
                      <c:pt idx="67">
                        <c:v>3225000</c:v>
                      </c:pt>
                      <c:pt idx="68">
                        <c:v>186966</c:v>
                      </c:pt>
                      <c:pt idx="69">
                        <c:v>159120</c:v>
                      </c:pt>
                      <c:pt idx="70">
                        <c:v>179010</c:v>
                      </c:pt>
                      <c:pt idx="71">
                        <c:v>177408</c:v>
                      </c:pt>
                      <c:pt idx="72">
                        <c:v>900000</c:v>
                      </c:pt>
                      <c:pt idx="73">
                        <c:v>2250000</c:v>
                      </c:pt>
                      <c:pt idx="74">
                        <c:v>6250000</c:v>
                      </c:pt>
                      <c:pt idx="75">
                        <c:v>750000</c:v>
                      </c:pt>
                      <c:pt idx="76">
                        <c:v>1250000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A77E-457C-A6AE-8BE9DB64773C}"/>
                  </c:ext>
                </c:extLst>
              </c15:ser>
            </c15:filteredScatterSeries>
          </c:ext>
        </c:extLst>
      </c:scatterChart>
      <c:valAx>
        <c:axId val="66335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4943"/>
        <c:crosses val="autoZero"/>
        <c:crossBetween val="midCat"/>
      </c:valAx>
      <c:valAx>
        <c:axId val="66349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Player</a:t>
                </a:r>
                <a:r>
                  <a:rPr lang="en-US" baseline="0"/>
                  <a:t> Salary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350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AL</a:t>
            </a:r>
            <a:r>
              <a:rPr lang="en-US" baseline="0"/>
              <a:t> Central Salary Efficiency 2024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'PositionPlayer Data'!$I$131</c:f>
              <c:strCache>
                <c:ptCount val="1"/>
                <c:pt idx="0">
                  <c:v>$/WAR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tx1"/>
              </a:solidFill>
              <a:ln w="12700">
                <a:solidFill>
                  <a:schemeClr val="bg2">
                    <a:alpha val="98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C68A-4D2E-95A3-F2C2C5BCE0BC}"/>
              </c:ext>
            </c:extLst>
          </c:dPt>
          <c:dPt>
            <c:idx val="1"/>
            <c:invertIfNegative val="0"/>
            <c:bubble3D val="0"/>
            <c:spPr>
              <a:solidFill>
                <a:srgbClr val="002060"/>
              </a:solidFill>
              <a:ln>
                <a:solidFill>
                  <a:srgbClr val="CC000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68A-4D2E-95A3-F2C2C5BCE0BC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2"/>
              </a:solidFill>
              <a:ln>
                <a:solidFill>
                  <a:srgbClr val="00206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C68A-4D2E-95A3-F2C2C5BCE0BC}"/>
              </c:ext>
            </c:extLst>
          </c:dPt>
          <c:dPt>
            <c:idx val="3"/>
            <c:invertIfNegative val="0"/>
            <c:bubble3D val="0"/>
            <c:spPr>
              <a:solidFill>
                <a:srgbClr val="8FBCFF"/>
              </a:solidFill>
              <a:ln>
                <a:solidFill>
                  <a:srgbClr val="0038A8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C68A-4D2E-95A3-F2C2C5BCE0BC}"/>
              </c:ext>
            </c:extLst>
          </c:dPt>
          <c:dPt>
            <c:idx val="4"/>
            <c:invertIfNegative val="0"/>
            <c:bubble3D val="0"/>
            <c:spPr>
              <a:solidFill>
                <a:srgbClr val="CC0000"/>
              </a:solidFill>
              <a:ln>
                <a:solidFill>
                  <a:srgbClr val="00206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C68A-4D2E-95A3-F2C2C5BCE0B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'PositionPlayer Data'!$B$132:$B$136</c:f>
              <c:strCache>
                <c:ptCount val="5"/>
                <c:pt idx="0">
                  <c:v>CWS</c:v>
                </c:pt>
                <c:pt idx="1">
                  <c:v>CLE</c:v>
                </c:pt>
                <c:pt idx="2">
                  <c:v>DET</c:v>
                </c:pt>
                <c:pt idx="3">
                  <c:v>KC</c:v>
                </c:pt>
                <c:pt idx="4">
                  <c:v>MIN</c:v>
                </c:pt>
              </c:strCache>
            </c:strRef>
          </c:cat>
          <c:val>
            <c:numRef>
              <c:f>'PositionPlayer Data'!$I$132:$I$136</c:f>
              <c:numCache>
                <c:formatCode>"$"#,##0.00</c:formatCode>
                <c:ptCount val="5"/>
                <c:pt idx="0">
                  <c:v>4799205.0442477874</c:v>
                </c:pt>
                <c:pt idx="1">
                  <c:v>1076196.5405405408</c:v>
                </c:pt>
                <c:pt idx="2">
                  <c:v>1596479.550561798</c:v>
                </c:pt>
                <c:pt idx="3">
                  <c:v>2107396.124401914</c:v>
                </c:pt>
                <c:pt idx="4">
                  <c:v>2683696.3461538469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8A-4D2E-95A3-F2C2C5BCE0B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597950959"/>
        <c:axId val="1597949519"/>
      </c:barChart>
      <c:catAx>
        <c:axId val="159795095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AL Central Team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7949519"/>
        <c:crosses val="autoZero"/>
        <c:auto val="1"/>
        <c:lblAlgn val="ctr"/>
        <c:lblOffset val="100"/>
        <c:noMultiLvlLbl val="0"/>
      </c:catAx>
      <c:valAx>
        <c:axId val="15979495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$/WAR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79509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AL Central: WAR Contribution by Player Type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'PositionPlayer Data'!$C$131</c:f>
              <c:strCache>
                <c:ptCount val="1"/>
                <c:pt idx="0">
                  <c:v>PosPlayer Tot WAR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'PositionPlayer Data'!$B$132:$B$136</c:f>
              <c:strCache>
                <c:ptCount val="5"/>
                <c:pt idx="0">
                  <c:v>CWS</c:v>
                </c:pt>
                <c:pt idx="1">
                  <c:v>CLE</c:v>
                </c:pt>
                <c:pt idx="2">
                  <c:v>DET</c:v>
                </c:pt>
                <c:pt idx="3">
                  <c:v>KC</c:v>
                </c:pt>
                <c:pt idx="4">
                  <c:v>MIN</c:v>
                </c:pt>
              </c:strCache>
            </c:strRef>
          </c:cat>
          <c:val>
            <c:numRef>
              <c:f>'PositionPlayer Data'!$C$132:$C$136</c:f>
              <c:numCache>
                <c:formatCode>General</c:formatCode>
                <c:ptCount val="5"/>
                <c:pt idx="0">
                  <c:v>-2.2000000000000002</c:v>
                </c:pt>
                <c:pt idx="1">
                  <c:v>21.099999999999998</c:v>
                </c:pt>
                <c:pt idx="2">
                  <c:v>17.499999999999996</c:v>
                </c:pt>
                <c:pt idx="3">
                  <c:v>20.9</c:v>
                </c:pt>
                <c:pt idx="4">
                  <c:v>17.099999999999998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D5-45BD-A4BA-BB68CF41067C}"/>
            </c:ext>
          </c:extLst>
        </c:ser>
        <c:ser>
          <c:idx val="1"/>
          <c:order val="1"/>
          <c:tx>
            <c:strRef>
              <c:f>'PositionPlayer Data'!$E$131</c:f>
              <c:strCache>
                <c:ptCount val="1"/>
                <c:pt idx="0">
                  <c:v>Pitcher Tot WAR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'PositionPlayer Data'!$B$132:$B$136</c:f>
              <c:strCache>
                <c:ptCount val="5"/>
                <c:pt idx="0">
                  <c:v>CWS</c:v>
                </c:pt>
                <c:pt idx="1">
                  <c:v>CLE</c:v>
                </c:pt>
                <c:pt idx="2">
                  <c:v>DET</c:v>
                </c:pt>
                <c:pt idx="3">
                  <c:v>KC</c:v>
                </c:pt>
                <c:pt idx="4">
                  <c:v>MIN</c:v>
                </c:pt>
              </c:strCache>
            </c:strRef>
          </c:cat>
          <c:val>
            <c:numRef>
              <c:f>'PositionPlayer Data'!$E$132:$E$136</c:f>
              <c:numCache>
                <c:formatCode>General</c:formatCode>
                <c:ptCount val="5"/>
                <c:pt idx="0">
                  <c:v>13.5</c:v>
                </c:pt>
                <c:pt idx="1">
                  <c:v>15.899999999999997</c:v>
                </c:pt>
                <c:pt idx="2">
                  <c:v>18.099999999999994</c:v>
                </c:pt>
                <c:pt idx="3">
                  <c:v>20.9</c:v>
                </c:pt>
                <c:pt idx="4">
                  <c:v>14.099999999999994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D5-45BD-A4BA-BB68CF410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28772959"/>
        <c:axId val="1628773919"/>
      </c:barChart>
      <c:catAx>
        <c:axId val="162877295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AL Central Teams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28773919"/>
        <c:crosses val="autoZero"/>
        <c:auto val="1"/>
        <c:lblAlgn val="ctr"/>
        <c:lblOffset val="100"/>
        <c:noMultiLvlLbl val="0"/>
      </c:catAx>
      <c:valAx>
        <c:axId val="1628773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WAR Totals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287729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AL Central:</a:t>
            </a:r>
            <a:r>
              <a:rPr lang="en-US" baseline="0"/>
              <a:t> Optimized vs. Current WAR (2024)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'Optimization Results'!$B$2</c:f>
              <c:strCache>
                <c:ptCount val="1"/>
                <c:pt idx="0">
                  <c:v>CurrentTotWAR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'Optimization Results'!$A$3:$A$7</c:f>
              <c:strCache>
                <c:ptCount val="5"/>
                <c:pt idx="0">
                  <c:v>CWS</c:v>
                </c:pt>
                <c:pt idx="1">
                  <c:v>CLE</c:v>
                </c:pt>
                <c:pt idx="2">
                  <c:v>DET</c:v>
                </c:pt>
                <c:pt idx="3">
                  <c:v>KC</c:v>
                </c:pt>
                <c:pt idx="4">
                  <c:v>MIN</c:v>
                </c:pt>
              </c:strCache>
            </c:strRef>
          </c:cat>
          <c:val>
            <c:numRef>
              <c:f>'Optimization Results'!$B$3:$B$7</c:f>
              <c:numCache>
                <c:formatCode>General</c:formatCode>
                <c:ptCount val="5"/>
                <c:pt idx="0">
                  <c:v>11.3</c:v>
                </c:pt>
                <c:pt idx="1">
                  <c:v>37</c:v>
                </c:pt>
                <c:pt idx="2">
                  <c:v>35.6</c:v>
                </c:pt>
                <c:pt idx="3">
                  <c:v>41.8</c:v>
                </c:pt>
                <c:pt idx="4">
                  <c:v>31.2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F4-49FA-837A-BD90BA4666BF}"/>
            </c:ext>
          </c:extLst>
        </c:ser>
        <c:ser>
          <c:idx val="1"/>
          <c:order val="1"/>
          <c:tx>
            <c:strRef>
              <c:f>'Optimization Results'!$C$2</c:f>
              <c:strCache>
                <c:ptCount val="1"/>
                <c:pt idx="0">
                  <c:v>OptimizedTotWAR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'Optimization Results'!$A$3:$A$7</c:f>
              <c:strCache>
                <c:ptCount val="5"/>
                <c:pt idx="0">
                  <c:v>CWS</c:v>
                </c:pt>
                <c:pt idx="1">
                  <c:v>CLE</c:v>
                </c:pt>
                <c:pt idx="2">
                  <c:v>DET</c:v>
                </c:pt>
                <c:pt idx="3">
                  <c:v>KC</c:v>
                </c:pt>
                <c:pt idx="4">
                  <c:v>MIN</c:v>
                </c:pt>
              </c:strCache>
            </c:strRef>
          </c:cat>
          <c:val>
            <c:numRef>
              <c:f>'Optimization Results'!$C$3:$C$7</c:f>
              <c:numCache>
                <c:formatCode>General</c:formatCode>
                <c:ptCount val="5"/>
                <c:pt idx="0">
                  <c:v>27.9</c:v>
                </c:pt>
                <c:pt idx="1">
                  <c:v>72.900000000000006</c:v>
                </c:pt>
                <c:pt idx="2">
                  <c:v>36.700000000000003</c:v>
                </c:pt>
                <c:pt idx="3">
                  <c:v>53.9</c:v>
                </c:pt>
                <c:pt idx="4">
                  <c:v>33.5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8F4-49FA-837A-BD90BA4666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50927663"/>
        <c:axId val="1250928143"/>
      </c:barChart>
      <c:catAx>
        <c:axId val="1250927663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AL Central</a:t>
                </a:r>
                <a:r>
                  <a:rPr lang="en-US" baseline="0"/>
                  <a:t> Teams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1.3888888888888888E-2"/>
              <c:y val="0.255269757946923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0928143"/>
        <c:crosses val="autoZero"/>
        <c:auto val="1"/>
        <c:lblAlgn val="ctr"/>
        <c:lblOffset val="100"/>
        <c:noMultiLvlLbl val="0"/>
      </c:catAx>
      <c:valAx>
        <c:axId val="1250928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09276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/>
              <a:t>Potential WAR Improvement by Team in AL Central (2024)</a:t>
            </a:r>
          </a:p>
        </c:rich>
      </c:tx>
      <c:layout>
        <c:manualLayout>
          <c:xMode val="edge"/>
          <c:yMode val="edge"/>
          <c:x val="0.23759216062823602"/>
          <c:y val="5.258427338471367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'Optimization Results'!$E$2</c:f>
              <c:strCache>
                <c:ptCount val="1"/>
                <c:pt idx="0">
                  <c:v>%Improvement</c:v>
                </c:pt>
              </c:strCache>
            </c:strRef>
          </c:tx>
          <c:dPt>
            <c:idx val="0"/>
            <c:bubble3D val="0"/>
            <c:spPr>
              <a:solidFill>
                <a:schemeClr val="tx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C4B-4FBD-8B9E-34E12129C95D}"/>
              </c:ext>
            </c:extLst>
          </c:dPt>
          <c:dPt>
            <c:idx val="1"/>
            <c:bubble3D val="0"/>
            <c:spPr>
              <a:solidFill>
                <a:srgbClr val="00206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C4B-4FBD-8B9E-34E12129C95D}"/>
              </c:ext>
            </c:extLst>
          </c:dPt>
          <c:dPt>
            <c:idx val="2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C4B-4FBD-8B9E-34E12129C95D}"/>
              </c:ext>
            </c:extLst>
          </c:dPt>
          <c:dPt>
            <c:idx val="3"/>
            <c:bubble3D val="0"/>
            <c:spPr>
              <a:solidFill>
                <a:srgbClr val="8FBCFF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C4B-4FBD-8B9E-34E12129C95D}"/>
              </c:ext>
            </c:extLst>
          </c:dPt>
          <c:dPt>
            <c:idx val="4"/>
            <c:bubble3D val="0"/>
            <c:spPr>
              <a:solidFill>
                <a:srgbClr val="CC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3C4B-4FBD-8B9E-34E12129C95D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1-3C4B-4FBD-8B9E-34E12129C95D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rgbClr val="FF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3-3C4B-4FBD-8B9E-34E12129C95D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rgbClr val="00206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5-3C4B-4FBD-8B9E-34E12129C95D}"/>
                </c:ext>
              </c:extLst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rgbClr val="0038A8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7-3C4B-4FBD-8B9E-34E12129C95D}"/>
                </c:ext>
              </c:extLst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rgbClr val="00206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9-3C4B-4FBD-8B9E-34E12129C95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'Optimization Results'!$A$3:$A$7</c:f>
              <c:strCache>
                <c:ptCount val="5"/>
                <c:pt idx="0">
                  <c:v>CWS</c:v>
                </c:pt>
                <c:pt idx="1">
                  <c:v>CLE</c:v>
                </c:pt>
                <c:pt idx="2">
                  <c:v>DET</c:v>
                </c:pt>
                <c:pt idx="3">
                  <c:v>KC</c:v>
                </c:pt>
                <c:pt idx="4">
                  <c:v>MIN</c:v>
                </c:pt>
              </c:strCache>
            </c:strRef>
          </c:cat>
          <c:val>
            <c:numRef>
              <c:f>'Optimization Results'!$E$3:$E$7</c:f>
              <c:numCache>
                <c:formatCode>0%</c:formatCode>
                <c:ptCount val="5"/>
                <c:pt idx="0">
                  <c:v>1.469026548672566</c:v>
                </c:pt>
                <c:pt idx="1">
                  <c:v>0.97027027027027046</c:v>
                </c:pt>
                <c:pt idx="2">
                  <c:v>3.0898876404494419E-2</c:v>
                </c:pt>
                <c:pt idx="3">
                  <c:v>0.28947368421052638</c:v>
                </c:pt>
                <c:pt idx="4">
                  <c:v>7.3717948717948747E-2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C4B-4FBD-8B9E-34E12129C95D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41AD416C-5DAC-4435-9BBE-9363F217DB21}">
  <sheetPr codeName="Chart17"/>
  <sheetViews>
    <sheetView zoomScale="7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6324E5A-78D6-467C-B33C-07ADF7619490}">
  <sheetPr codeName="Chart1"/>
  <sheetViews>
    <sheetView zoomScale="70" workbookViewId="0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322D308-2D68-4181-88C4-2B2F1DC9D69F}">
  <sheetPr codeName="Chart2"/>
  <sheetViews>
    <sheetView zoomScale="55" workbookViewId="0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E17E2BC-9D7F-4389-A973-8AFAE0B139F5}">
  <sheetPr codeName="Chart3"/>
  <sheetViews>
    <sheetView zoomScale="7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AE85F4B-1D45-47E5-B2F9-AFE06A5BBC77}">
  <sheetPr codeName="Chart22"/>
  <sheetViews>
    <sheetView zoomScale="7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C5CFDCD-AC82-4020-A640-956DA9CFA4FD}">
  <sheetPr codeName="Chart23"/>
  <sheetViews>
    <sheetView zoomScale="72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536575</xdr:colOff>
      <xdr:row>8</xdr:row>
      <xdr:rowOff>12700</xdr:rowOff>
    </xdr:from>
    <xdr:to>
      <xdr:col>5</xdr:col>
      <xdr:colOff>593725</xdr:colOff>
      <xdr:row>22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1E91D79-EE83-6482-3B69-5613DBEBF9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60694" cy="627944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8E27B70-159A-5B2D-7BAA-261B41411C04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54143" cy="6277429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C84EF11-22A8-97B9-B439-9854172BCDFC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60694" cy="627944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1D9F960-658A-A216-5581-B13C9DCAC9FE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60694" cy="627944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D7B8C50-D465-6563-F8A0-853D0A72C70F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8660694" cy="627944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45B7B1D-8757-9966-451D-F2CEDCCF1C5E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8660694" cy="627944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413D7C5-BD30-55C8-52B9-10109B7B822F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ED2E7AE-3292-4C13-BDE0-182DE65ADD2F}" name="Table1" displayName="Table1" ref="A1:AK32" totalsRowShown="0" headerRowDxfId="130" dataDxfId="129" tableBorderDxfId="128">
  <autoFilter ref="A1:AK32" xr:uid="{EED2E7AE-3292-4C13-BDE0-182DE65ADD2F}"/>
  <tableColumns count="37">
    <tableColumn id="1" xr3:uid="{CB72D9EF-2BA0-47DD-9E61-400B46A288BB}" name="Rk" dataDxfId="127"/>
    <tableColumn id="2" xr3:uid="{A20B2402-FFE0-4C42-A9ED-4D5EC46E2E70}" name="Player" dataDxfId="126"/>
    <tableColumn id="3" xr3:uid="{08F45228-91BA-4A20-BF59-FF61C541CAC3}" name="Age" dataDxfId="125"/>
    <tableColumn id="4" xr3:uid="{835CE264-4BCC-40CF-8B66-99E2EFF940F8}" name="Pos" dataDxfId="124"/>
    <tableColumn id="5" xr3:uid="{6F1E7400-1D94-43D0-B4B6-2CFF1F52892A}" name="WAR" dataDxfId="123"/>
    <tableColumn id="6" xr3:uid="{922EF54A-DDF3-4344-AD43-80C6B1487163}" name="G" dataDxfId="122"/>
    <tableColumn id="7" xr3:uid="{CC08DA5F-CCCB-40CB-B783-D8F3232C7BEA}" name="PA" dataDxfId="121"/>
    <tableColumn id="8" xr3:uid="{72722575-6110-4F09-882A-23F9299BA12C}" name="AB" dataDxfId="120"/>
    <tableColumn id="9" xr3:uid="{3E670916-A67B-4BC2-B340-F87874E051A7}" name="R" dataDxfId="119"/>
    <tableColumn id="10" xr3:uid="{3A092225-FFED-4964-A6BA-A52B8513DF47}" name="H" dataDxfId="118"/>
    <tableColumn id="11" xr3:uid="{3BB41103-C39A-49E1-ABD6-A5E521CF9868}" name="2B" dataDxfId="117"/>
    <tableColumn id="12" xr3:uid="{E2C81A22-9DD6-40BA-B0A4-E5A7176FE661}" name="3B" dataDxfId="116"/>
    <tableColumn id="13" xr3:uid="{49691383-A02D-47EE-BF9B-E384EB238EDB}" name="HR" dataDxfId="115"/>
    <tableColumn id="14" xr3:uid="{47C761A7-C00C-4B04-82AD-5ADB6CC0A3B0}" name="RBI" dataDxfId="114"/>
    <tableColumn id="15" xr3:uid="{7F390CA8-D536-444D-8224-31A37AFDCBCE}" name="SB" dataDxfId="113"/>
    <tableColumn id="16" xr3:uid="{C63627F8-E013-4E0F-9775-2DA1AA519151}" name="CS" dataDxfId="112"/>
    <tableColumn id="17" xr3:uid="{00AAA391-FD55-418F-BCCF-4B841AE912A3}" name="BB" dataDxfId="111"/>
    <tableColumn id="18" xr3:uid="{EB07DAD9-2CBC-424A-A3B9-472F6EA3C115}" name="SO" dataDxfId="110"/>
    <tableColumn id="19" xr3:uid="{8C0EEE26-736A-4266-A4F2-4212E5682836}" name="BA" dataDxfId="109"/>
    <tableColumn id="20" xr3:uid="{3156173E-1C8A-4441-B828-B3A45D4A503D}" name="OBP" dataDxfId="108"/>
    <tableColumn id="21" xr3:uid="{722D2B28-323E-4EE1-BE48-9B4912DFBBA3}" name="SLG" dataDxfId="107"/>
    <tableColumn id="22" xr3:uid="{D7147973-796E-42F2-BC78-1AB47156A6E0}" name="OPS" dataDxfId="106"/>
    <tableColumn id="23" xr3:uid="{34586E56-78BF-41D9-88BB-0A369B652404}" name="OPS+" dataDxfId="105"/>
    <tableColumn id="24" xr3:uid="{FE6499F9-6601-4E59-A500-87719833233F}" name="rOBA" dataDxfId="104"/>
    <tableColumn id="25" xr3:uid="{AC28BE3A-5B00-4B92-A162-31653F72675E}" name="Rbat+" dataDxfId="103"/>
    <tableColumn id="26" xr3:uid="{DB650BEB-CA95-482A-9950-84A1D279DF0D}" name="TB" dataDxfId="102"/>
    <tableColumn id="27" xr3:uid="{384302EA-677B-4FBA-975D-DF79E604DBB9}" name="GIDP" dataDxfId="101"/>
    <tableColumn id="28" xr3:uid="{60F8B786-1453-4D0C-B525-AC23BD556349}" name="HBP" dataDxfId="100"/>
    <tableColumn id="29" xr3:uid="{C71BAE77-C90F-41FD-BE8F-407D349AF169}" name="SH" dataDxfId="99"/>
    <tableColumn id="30" xr3:uid="{E9B5006B-34B9-452E-B5B6-C44AD960327A}" name="SF" dataDxfId="98"/>
    <tableColumn id="31" xr3:uid="{EF9C87ED-80B0-4016-A875-3DA8730CC7D8}" name="IBB" dataDxfId="97"/>
    <tableColumn id="32" xr3:uid="{1349AD90-50FE-4727-9E3E-837931727381}" name="Pos_1" dataDxfId="96"/>
    <tableColumn id="33" xr3:uid="{1B732277-AEAD-4657-A92C-361DE7B5C3A1}" name="Awards" dataDxfId="95"/>
    <tableColumn id="34" xr3:uid="{FE86D1EF-3430-464A-9D05-E15CBDE48F1C}" name="Player-additional" dataDxfId="94"/>
    <tableColumn id="35" xr3:uid="{030DE8E9-479B-4F5D-8F49-AA97F5541F92}" name="Pitcher_PositionPlayer" dataDxfId="93"/>
    <tableColumn id="36" xr3:uid="{53FAD1A8-B4AE-4A9C-A3DE-4B4A092D97CA}" name="Team" dataDxfId="92"/>
    <tableColumn id="37" xr3:uid="{03FB4AE0-FFD5-4EE8-B565-EE3A4C40FC5C}" name="Salary" dataDxfId="91">
      <calculatedColumnFormula>IFERROR(VLOOKUP(B2,'CWS Salary 2024'!A1:I39,7,FALSE),"No salary data")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A34174BE-3C0B-4657-9F74-7C137497E9EE}" name="Table7" displayName="Table7" ref="A1:D6" totalsRowShown="0">
  <autoFilter ref="A1:D6" xr:uid="{A34174BE-3C0B-4657-9F74-7C137497E9EE}"/>
  <tableColumns count="4">
    <tableColumn id="1" xr3:uid="{EB06A3C4-9BE2-4EEF-9E6F-9E928971707C}" name="Team"/>
    <tableColumn id="2" xr3:uid="{8A42E623-C0D2-4180-A23E-4902E642A688}" name="Adjusted Payroll Total" dataDxfId="90"/>
    <tableColumn id="3" xr3:uid="{E69F41DB-1E84-4402-AB3C-A7954247B6B1}" name="Tax Space" dataDxfId="89"/>
    <tableColumn id="4" xr3:uid="{C61CC4F9-4EE3-4C58-8DA8-2EA93C74C058}" name="Cash Total" dataDxfId="88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FA958F20-C979-4354-B2B6-E29DD05E0DBD}" name="PositionPlayerData" displayName="PositionPlayerData" ref="A1:AM116" totalsRowShown="0" headerRowDxfId="86" tableBorderDxfId="85">
  <autoFilter ref="A1:AM116" xr:uid="{FA958F20-C979-4354-B2B6-E29DD05E0DBD}">
    <filterColumn colId="36">
      <filters>
        <filter val="$1,700,000"/>
        <filter val="$10,000,000"/>
        <filter val="$103,062"/>
        <filter val="$12,500,000"/>
        <filter val="$163,098"/>
        <filter val="$17,000,000"/>
        <filter val="$17,100,000"/>
        <filter val="$171,054"/>
        <filter val="$175,032"/>
        <filter val="$2,425,000"/>
        <filter val="$2,833,333"/>
        <filter val="$20,000,000"/>
        <filter val="$206,856"/>
        <filter val="$242,658"/>
        <filter val="$25,000,000"/>
        <filter val="$282,438"/>
        <filter val="$3,111,111"/>
        <filter val="$3,300,000"/>
        <filter val="$306,306"/>
        <filter val="$33,333,333"/>
        <filter val="$377,910"/>
        <filter val="$4,000,000"/>
        <filter val="$4,300,000"/>
        <filter val="$416,832"/>
        <filter val="$456,987"/>
        <filter val="$481,800"/>
        <filter val="$5,500,000"/>
        <filter val="$5,621,429"/>
        <filter val="$5,850,000"/>
        <filter val="$506,016"/>
        <filter val="$51,714"/>
        <filter val="$560,898"/>
        <filter val="$6,500,000"/>
        <filter val="$660,348"/>
        <filter val="$714,540"/>
        <filter val="$740,000"/>
        <filter val="$742,100"/>
        <filter val="$743,750"/>
        <filter val="$745,000"/>
        <filter val="$745,700"/>
        <filter val="$751,250"/>
        <filter val="$752,750"/>
        <filter val="$754,750"/>
        <filter val="$757,000"/>
        <filter val="$757,600"/>
        <filter val="$758,250"/>
        <filter val="$766,000"/>
        <filter val="$766,300"/>
        <filter val="$776,970"/>
      </filters>
    </filterColumn>
  </autoFilter>
  <tableColumns count="39">
    <tableColumn id="1" xr3:uid="{AAB21587-F6D9-4399-B789-7121F2E72946}" name="Rk" dataDxfId="84"/>
    <tableColumn id="2" xr3:uid="{AD8A7D6C-ADEB-4DAA-9501-9B1DD5A88998}" name="Player" dataDxfId="83"/>
    <tableColumn id="3" xr3:uid="{AC70AE19-EACC-469F-9065-9597064A8D75}" name="Age" dataDxfId="82"/>
    <tableColumn id="4" xr3:uid="{95F649F7-B065-412E-8996-535B6E4F709F}" name="Pos" dataDxfId="81"/>
    <tableColumn id="5" xr3:uid="{F8D6D627-C06C-4915-BACB-564AE5C3DE18}" name="WAR" dataDxfId="80"/>
    <tableColumn id="6" xr3:uid="{88D31D31-ABB0-4BD4-98B8-F3FD6AF79EDD}" name="G" dataDxfId="79"/>
    <tableColumn id="7" xr3:uid="{F3F6C8EA-6F70-4C16-BC49-7359E341FBD8}" name="PA" dataDxfId="78"/>
    <tableColumn id="8" xr3:uid="{5F47D47F-7D20-456F-8E6E-5A91517AD387}" name="AB" dataDxfId="77"/>
    <tableColumn id="9" xr3:uid="{90A6BE79-EC51-48C6-B0F8-16882F281943}" name="R" dataDxfId="76"/>
    <tableColumn id="10" xr3:uid="{EAF62644-F900-4516-86F6-8B80950E43C7}" name="H" dataDxfId="75"/>
    <tableColumn id="11" xr3:uid="{36385EBC-D293-46BC-A395-4F08436974BA}" name="2B" dataDxfId="74"/>
    <tableColumn id="12" xr3:uid="{A94AB82F-1B11-4465-8234-CE08DC851676}" name="3B" dataDxfId="73"/>
    <tableColumn id="13" xr3:uid="{19E4F553-920D-4566-B8F5-D0B57ED48034}" name="HR" dataDxfId="72"/>
    <tableColumn id="14" xr3:uid="{54EC5D93-4A58-46E6-A0D5-02AFF82980B3}" name="RBI" dataDxfId="71"/>
    <tableColumn id="15" xr3:uid="{D1AD854E-7E12-4206-8114-A052FFAD4BD1}" name="SB" dataDxfId="70"/>
    <tableColumn id="16" xr3:uid="{9981AE5F-4EE8-4BEB-A250-CBF0D7E7C747}" name="CS" dataDxfId="69"/>
    <tableColumn id="17" xr3:uid="{B3306EEF-4E43-403F-BDD7-315103D16DA1}" name="BB" dataDxfId="68"/>
    <tableColumn id="18" xr3:uid="{782BA733-52C8-4774-A929-1F96F3EE80B0}" name="SO" dataDxfId="67"/>
    <tableColumn id="19" xr3:uid="{95205EF2-C6F4-425B-B26A-1380E437425A}" name="BA" dataDxfId="66"/>
    <tableColumn id="20" xr3:uid="{B1899B2A-6AC5-4995-A9F8-F35DB27FD0D7}" name="OBP" dataDxfId="65"/>
    <tableColumn id="21" xr3:uid="{C3E13B77-BACE-4B04-B683-8E3B4F58BC57}" name="SLG" dataDxfId="64"/>
    <tableColumn id="22" xr3:uid="{CA3DE370-04E2-4522-8132-8444336476CF}" name="OPS" dataDxfId="63"/>
    <tableColumn id="23" xr3:uid="{CB17DC58-44E9-4ADF-A9D9-A07DD0FB718A}" name="OPS+" dataDxfId="62"/>
    <tableColumn id="24" xr3:uid="{0F894828-EC90-4217-94F6-FCCD3988F5B2}" name="rOBA" dataDxfId="61"/>
    <tableColumn id="25" xr3:uid="{1BC2CFE6-9F77-436B-8053-BE7DA6100A4D}" name="Rbat+" dataDxfId="60"/>
    <tableColumn id="26" xr3:uid="{E5B6366C-B03D-400B-A0D1-F8CA47E748E7}" name="TB" dataDxfId="59"/>
    <tableColumn id="27" xr3:uid="{F1C8C86D-B0BD-40B5-A3CC-5F76A50B7618}" name="GIDP" dataDxfId="58"/>
    <tableColumn id="28" xr3:uid="{0425D1CE-8E02-4B47-AB59-5D3E996060B4}" name="HBP" dataDxfId="57"/>
    <tableColumn id="29" xr3:uid="{35E81918-21F2-4633-9E42-9182493D0AB1}" name="SH" dataDxfId="56"/>
    <tableColumn id="30" xr3:uid="{8160D624-07E6-4F02-BE1C-83DCD2E8FC68}" name="SF" dataDxfId="55"/>
    <tableColumn id="31" xr3:uid="{5A2249C9-731A-4A35-9244-E7D142621FE7}" name="IBB" dataDxfId="54"/>
    <tableColumn id="32" xr3:uid="{393ED03A-E696-4035-BA0F-5ECB963DD596}" name="Pos_1" dataDxfId="53"/>
    <tableColumn id="33" xr3:uid="{A333D831-5EFF-4284-A712-2334344744F5}" name="Awards" dataDxfId="52"/>
    <tableColumn id="34" xr3:uid="{AACD4D82-7143-495C-B05D-397BBC6EAC9A}" name="Player-additional" dataDxfId="51"/>
    <tableColumn id="35" xr3:uid="{C54CDFB3-3B11-473F-8E5C-C9CD0F18A5E2}" name="Pitcher_PositionPlayer" dataDxfId="50"/>
    <tableColumn id="36" xr3:uid="{E66A5AF1-5347-4C8B-8603-629442790631}" name="Team" dataDxfId="49"/>
    <tableColumn id="37" xr3:uid="{A80ED57B-C816-40A4-B90D-E577B512044C}" name="Salary" dataDxfId="48"/>
    <tableColumn id="38" xr3:uid="{92847E96-7ABC-4D40-AD73-1B51B0B751F6}" name="$/WAR" dataDxfId="47">
      <calculatedColumnFormula>AK2/E2</calculatedColumnFormula>
    </tableColumn>
    <tableColumn id="39" xr3:uid="{DEFA151D-459B-455B-BE1E-5805E0937926}" name="OPSValue" dataDxfId="46">
      <calculatedColumnFormula>AK2/W2</calculatedColumnFormula>
    </tableColumn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B3AD6EA-AF60-4258-8FD3-27399871C2CC}" name="PitcherData" displayName="PitcherData" ref="A1:AO157" totalsRowShown="0" headerRowDxfId="42" dataDxfId="41">
  <autoFilter ref="A1:AO157" xr:uid="{3B3AD6EA-AF60-4258-8FD3-27399871C2CC}">
    <filterColumn colId="39">
      <filters>
        <filter val="$1,013,438"/>
        <filter val="$1,032,035"/>
        <filter val="$1,080,995"/>
        <filter val="$1,089,904"/>
        <filter val="$1,114,602"/>
        <filter val="$1,142,935"/>
        <filter val="$1,157,584"/>
        <filter val="$1,175,000"/>
        <filter val="$1,250,000"/>
        <filter val="$1,297,688"/>
        <filter val="$1,500,000"/>
        <filter val="$1,750,000"/>
        <filter val="$108,060"/>
        <filter val="$108,864"/>
        <filter val="$119,340"/>
        <filter val="$127,296"/>
        <filter val="$135,252"/>
        <filter val="$139,230"/>
        <filter val="$14,000,000"/>
        <filter val="$15,000,000"/>
        <filter val="$159,120"/>
        <filter val="$16,450,000"/>
        <filter val="$163,098"/>
        <filter val="$171,054"/>
        <filter val="$177,408"/>
        <filter val="$179,010"/>
        <filter val="$186,966"/>
        <filter val="$19,890"/>
        <filter val="$2,000,000"/>
        <filter val="$2,250,000"/>
        <filter val="$2,350,000"/>
        <filter val="$2,391,763"/>
        <filter val="$2,525,000"/>
        <filter val="$2,650,000"/>
        <filter val="$2,800,028"/>
        <filter val="$222,768"/>
        <filter val="$233,073"/>
        <filter val="$234,702"/>
        <filter val="$240,893"/>
        <filter val="$242,658"/>
        <filter val="$254,592"/>
        <filter val="$268,191"/>
        <filter val="$3,000,000"/>
        <filter val="$3,225,000"/>
        <filter val="$3,500,000"/>
        <filter val="$306,306"/>
        <filter val="$358,020"/>
        <filter val="$4,850,000"/>
        <filter val="$437,580"/>
        <filter val="$5,625,000"/>
        <filter val="$525,096"/>
        <filter val="$552,942"/>
        <filter val="$6,250,000"/>
        <filter val="$620,620"/>
        <filter val="$626,045"/>
        <filter val="$636,480"/>
        <filter val="$658,296"/>
        <filter val="$67,626"/>
        <filter val="$707,350"/>
        <filter val="$740,800"/>
        <filter val="$742,100"/>
        <filter val="$745,750"/>
        <filter val="$746,600"/>
        <filter val="$749,450"/>
        <filter val="$75,582"/>
        <filter val="$750,000"/>
        <filter val="$760,700"/>
        <filter val="$766,300"/>
        <filter val="$800,000"/>
        <filter val="$83,538"/>
        <filter val="$830,000"/>
        <filter val="$900,000"/>
        <filter val="$962,500"/>
      </filters>
    </filterColumn>
  </autoFilter>
  <tableColumns count="41">
    <tableColumn id="1" xr3:uid="{37F17F1D-51CE-4C07-BC79-1C8456B851A3}" name="Rk" dataDxfId="40"/>
    <tableColumn id="2" xr3:uid="{38829CB3-FB85-491C-B865-E16C0C1CE738}" name="Player" dataDxfId="39"/>
    <tableColumn id="3" xr3:uid="{46A7D0CA-0508-4970-AF1F-2A63FB904FDC}" name="Age" dataDxfId="38"/>
    <tableColumn id="4" xr3:uid="{E933A208-0FD4-4CFD-9E59-D98B596D1FE0}" name="Pos" dataDxfId="37"/>
    <tableColumn id="5" xr3:uid="{522934F8-C9E7-4951-8A3D-66873058C5AB}" name="WAR" dataDxfId="36"/>
    <tableColumn id="6" xr3:uid="{BEBBE97C-B3FD-4262-B61B-54ADE3D91167}" name="W" dataDxfId="35"/>
    <tableColumn id="7" xr3:uid="{676DFFC4-969E-4002-824F-77C3416D3327}" name="L" dataDxfId="34"/>
    <tableColumn id="8" xr3:uid="{A07FF2F3-C7C7-4AB3-BEA6-214501C91BCD}" name="W-L%" dataDxfId="33"/>
    <tableColumn id="9" xr3:uid="{0AE74323-FDA1-4F6F-8414-6A21B696827C}" name="ERA" dataDxfId="32"/>
    <tableColumn id="10" xr3:uid="{803F7B8F-A026-4B2C-8719-E0BE36609ED0}" name="G" dataDxfId="31"/>
    <tableColumn id="11" xr3:uid="{83DCA694-0E91-4681-A8B2-40783777237F}" name="GS" dataDxfId="30"/>
    <tableColumn id="12" xr3:uid="{CE0072F9-7BF2-4063-A1B9-5045680C49DA}" name="GF" dataDxfId="29"/>
    <tableColumn id="13" xr3:uid="{39B0AB24-2283-4E10-AAF3-C1D732700728}" name="CG" dataDxfId="28"/>
    <tableColumn id="14" xr3:uid="{5C41B222-10B4-414F-AD82-1C57E44FC502}" name="SHO" dataDxfId="27"/>
    <tableColumn id="15" xr3:uid="{9682156A-D69D-41E2-9624-2A710CDB978B}" name="SV" dataDxfId="26"/>
    <tableColumn id="16" xr3:uid="{1113141B-C80E-437E-9A80-3AFD256BA0D3}" name="IP" dataDxfId="25"/>
    <tableColumn id="17" xr3:uid="{0A0ADD5D-74E2-438E-9CB7-D51CEFCB34D0}" name="H" dataDxfId="24"/>
    <tableColumn id="18" xr3:uid="{0329E433-921E-496D-BD1E-6AF290EA6E99}" name="R" dataDxfId="23"/>
    <tableColumn id="19" xr3:uid="{A0123B6D-8AA2-4B05-AAAA-77F8FAF8EC35}" name="ER" dataDxfId="22"/>
    <tableColumn id="20" xr3:uid="{3AA26ECD-E34D-47F9-8B7D-45E13834A238}" name="HR" dataDxfId="21"/>
    <tableColumn id="21" xr3:uid="{65C568F2-B131-4D50-8CF2-F249EB722DFA}" name="BB" dataDxfId="20"/>
    <tableColumn id="22" xr3:uid="{94EBC92F-315F-4A7E-A9C9-2D8750FF8031}" name="IBB" dataDxfId="19"/>
    <tableColumn id="23" xr3:uid="{F5F298AD-3B53-457A-84AE-D2599F6D45EF}" name="SO" dataDxfId="18"/>
    <tableColumn id="24" xr3:uid="{C7CCF166-7322-4EB8-80F8-E5DF20877892}" name="HBP" dataDxfId="17"/>
    <tableColumn id="25" xr3:uid="{89EA2C91-654E-4864-BD64-B447908418CB}" name="BK" dataDxfId="16"/>
    <tableColumn id="26" xr3:uid="{296A02B7-F268-4074-8791-934458D9E0BD}" name="WP" dataDxfId="15"/>
    <tableColumn id="27" xr3:uid="{00B30167-FE63-4C2E-8193-58E19A4A6C3A}" name="BF" dataDxfId="14"/>
    <tableColumn id="28" xr3:uid="{C6D3197E-FC63-4F4B-9D89-B83BAD9BEF7B}" name="ERA+" dataDxfId="13"/>
    <tableColumn id="29" xr3:uid="{C72DEE9C-F3DC-4A84-8ED0-B38D66B2FE63}" name="FIP" dataDxfId="12"/>
    <tableColumn id="30" xr3:uid="{833D6EBD-9D4E-459A-B32B-97A7A4E837C4}" name="WHIP" dataDxfId="11"/>
    <tableColumn id="31" xr3:uid="{7E1D9A56-0985-4903-A36D-657236E06293}" name="H9" dataDxfId="10"/>
    <tableColumn id="32" xr3:uid="{87FC4FB8-1F4B-4B34-8B44-5800E43D6D1B}" name="HR9" dataDxfId="9"/>
    <tableColumn id="33" xr3:uid="{291EBD9E-6BB6-49F5-A27D-3004A1C10CD5}" name="BB9" dataDxfId="8"/>
    <tableColumn id="34" xr3:uid="{32EB26D5-7A3B-41D5-A697-BB2BA3308F26}" name="SO9" dataDxfId="7"/>
    <tableColumn id="35" xr3:uid="{966D14A4-F0D0-498F-A854-259BEFE660A5}" name="SO/BB" dataDxfId="6"/>
    <tableColumn id="36" xr3:uid="{2D05E805-87E1-419F-826A-5D709855CE15}" name="Awards" dataDxfId="5"/>
    <tableColumn id="37" xr3:uid="{E69098F7-01A7-4A00-A35A-0F695CDBF90F}" name="Player-additional" dataDxfId="4"/>
    <tableColumn id="38" xr3:uid="{D8BD340B-9824-4D0A-847E-3DFD326DB224}" name="Pitcher_PositionPlayer" dataDxfId="3"/>
    <tableColumn id="39" xr3:uid="{0AD9AFE0-860C-4641-AC92-5FA21FD050D0}" name="Team" dataDxfId="2"/>
    <tableColumn id="40" xr3:uid="{EB229906-1106-4666-9639-A1AC7338B880}" name="Salary" dataDxfId="1">
      <calculatedColumnFormula>IFERROR(VLOOKUP(B3,'MIN Salary 2024'!$A$1:$I$40,7,FALSE),"No salary data")</calculatedColumnFormula>
    </tableColumn>
    <tableColumn id="41" xr3:uid="{714995D3-C924-437B-9DAC-0862A8FD658F}" name="$/WAR " dataDxfId="0">
      <calculatedColumnFormula>AN2/E2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1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DEB369-8256-410E-927F-C71FE8197EA9}">
  <sheetPr codeName="Sheet1"/>
  <dimension ref="A1:AK32"/>
  <sheetViews>
    <sheetView topLeftCell="AE12" zoomScale="74" workbookViewId="0">
      <selection activeCell="AZ24" sqref="AZ24"/>
    </sheetView>
  </sheetViews>
  <sheetFormatPr defaultRowHeight="15" x14ac:dyDescent="0.25"/>
  <cols>
    <col min="1" max="1" width="5.28515625" bestFit="1" customWidth="1"/>
    <col min="2" max="2" width="17" bestFit="1" customWidth="1"/>
    <col min="3" max="4" width="6.140625" bestFit="1" customWidth="1"/>
    <col min="5" max="5" width="7" bestFit="1" customWidth="1"/>
    <col min="6" max="6" width="4.42578125" bestFit="1" customWidth="1"/>
    <col min="7" max="7" width="5.28515625" bestFit="1" customWidth="1"/>
    <col min="8" max="8" width="6.140625" bestFit="1" customWidth="1"/>
    <col min="9" max="9" width="4.28515625" bestFit="1" customWidth="1"/>
    <col min="10" max="10" width="4.42578125" bestFit="1" customWidth="1"/>
    <col min="11" max="12" width="5.140625" bestFit="1" customWidth="1"/>
    <col min="13" max="13" width="5.5703125" bestFit="1" customWidth="1"/>
    <col min="14" max="14" width="5.85546875" bestFit="1" customWidth="1"/>
    <col min="15" max="15" width="5.28515625" bestFit="1" customWidth="1"/>
    <col min="16" max="16" width="5.42578125" bestFit="1" customWidth="1"/>
    <col min="17" max="17" width="5.28515625" bestFit="1" customWidth="1"/>
    <col min="18" max="18" width="5.42578125" bestFit="1" customWidth="1"/>
    <col min="19" max="19" width="5.85546875" bestFit="1" customWidth="1"/>
    <col min="20" max="20" width="6.5703125" bestFit="1" customWidth="1"/>
    <col min="21" max="21" width="6.42578125" bestFit="1" customWidth="1"/>
    <col min="22" max="22" width="6.5703125" bestFit="1" customWidth="1"/>
    <col min="23" max="23" width="7.5703125" bestFit="1" customWidth="1"/>
    <col min="24" max="24" width="7.140625" bestFit="1" customWidth="1"/>
    <col min="25" max="25" width="8" bestFit="1" customWidth="1"/>
    <col min="26" max="26" width="5.140625" bestFit="1" customWidth="1"/>
    <col min="27" max="27" width="7.28515625" bestFit="1" customWidth="1"/>
    <col min="28" max="28" width="6.5703125" bestFit="1" customWidth="1"/>
    <col min="29" max="29" width="5.42578125" bestFit="1" customWidth="1"/>
    <col min="30" max="30" width="5.140625" bestFit="1" customWidth="1"/>
    <col min="31" max="31" width="5.85546875" bestFit="1" customWidth="1"/>
    <col min="32" max="32" width="9" bestFit="1" customWidth="1"/>
    <col min="33" max="33" width="9.140625" bestFit="1" customWidth="1"/>
    <col min="34" max="34" width="17.5703125" bestFit="1" customWidth="1"/>
    <col min="35" max="35" width="24" bestFit="1" customWidth="1"/>
    <col min="37" max="37" width="14" style="1" bestFit="1" customWidth="1"/>
  </cols>
  <sheetData>
    <row r="1" spans="1:37" x14ac:dyDescent="0.25">
      <c r="A1" s="118" t="s">
        <v>0</v>
      </c>
      <c r="B1" s="118" t="s">
        <v>1</v>
      </c>
      <c r="C1" s="118" t="s">
        <v>2</v>
      </c>
      <c r="D1" s="118" t="s">
        <v>3</v>
      </c>
      <c r="E1" s="118" t="s">
        <v>4</v>
      </c>
      <c r="F1" s="118" t="s">
        <v>5</v>
      </c>
      <c r="G1" s="118" t="s">
        <v>6</v>
      </c>
      <c r="H1" s="118" t="s">
        <v>7</v>
      </c>
      <c r="I1" s="118" t="s">
        <v>8</v>
      </c>
      <c r="J1" s="118" t="s">
        <v>9</v>
      </c>
      <c r="K1" s="118" t="s">
        <v>10</v>
      </c>
      <c r="L1" s="118" t="s">
        <v>11</v>
      </c>
      <c r="M1" s="118" t="s">
        <v>12</v>
      </c>
      <c r="N1" s="118" t="s">
        <v>13</v>
      </c>
      <c r="O1" s="118" t="s">
        <v>14</v>
      </c>
      <c r="P1" s="118" t="s">
        <v>15</v>
      </c>
      <c r="Q1" s="118" t="s">
        <v>16</v>
      </c>
      <c r="R1" s="118" t="s">
        <v>17</v>
      </c>
      <c r="S1" s="118" t="s">
        <v>18</v>
      </c>
      <c r="T1" s="118" t="s">
        <v>19</v>
      </c>
      <c r="U1" s="118" t="s">
        <v>20</v>
      </c>
      <c r="V1" s="118" t="s">
        <v>21</v>
      </c>
      <c r="W1" s="118" t="s">
        <v>22</v>
      </c>
      <c r="X1" s="118" t="s">
        <v>23</v>
      </c>
      <c r="Y1" s="118" t="s">
        <v>24</v>
      </c>
      <c r="Z1" s="118" t="s">
        <v>25</v>
      </c>
      <c r="AA1" s="118" t="s">
        <v>26</v>
      </c>
      <c r="AB1" s="118" t="s">
        <v>27</v>
      </c>
      <c r="AC1" s="118" t="s">
        <v>28</v>
      </c>
      <c r="AD1" s="118" t="s">
        <v>29</v>
      </c>
      <c r="AE1" s="118" t="s">
        <v>30</v>
      </c>
      <c r="AF1" s="118" t="s">
        <v>31</v>
      </c>
      <c r="AG1" s="118" t="s">
        <v>32</v>
      </c>
      <c r="AH1" s="118" t="s">
        <v>33</v>
      </c>
      <c r="AI1" s="118" t="s">
        <v>836</v>
      </c>
      <c r="AJ1" s="118" t="s">
        <v>817</v>
      </c>
      <c r="AK1" s="119" t="s">
        <v>840</v>
      </c>
    </row>
    <row r="2" spans="1:37" x14ac:dyDescent="0.25">
      <c r="A2" s="104">
        <v>7</v>
      </c>
      <c r="B2" s="104" t="s">
        <v>57</v>
      </c>
      <c r="C2" s="104">
        <v>26</v>
      </c>
      <c r="D2" s="104" t="s">
        <v>58</v>
      </c>
      <c r="E2" s="104">
        <v>1.4</v>
      </c>
      <c r="F2" s="104">
        <v>100</v>
      </c>
      <c r="G2" s="104">
        <v>425</v>
      </c>
      <c r="H2" s="104">
        <v>393</v>
      </c>
      <c r="I2" s="104">
        <v>47</v>
      </c>
      <c r="J2" s="104">
        <v>88</v>
      </c>
      <c r="K2" s="104">
        <v>19</v>
      </c>
      <c r="L2" s="104">
        <v>0</v>
      </c>
      <c r="M2" s="104">
        <v>14</v>
      </c>
      <c r="N2" s="104">
        <v>35</v>
      </c>
      <c r="O2" s="104">
        <v>23</v>
      </c>
      <c r="P2" s="104">
        <v>6</v>
      </c>
      <c r="Q2" s="104">
        <v>28</v>
      </c>
      <c r="R2" s="104">
        <v>141</v>
      </c>
      <c r="S2" s="104">
        <v>0.224</v>
      </c>
      <c r="T2" s="104">
        <v>0.27800000000000002</v>
      </c>
      <c r="U2" s="104">
        <v>0.379</v>
      </c>
      <c r="V2" s="104">
        <v>0.65700000000000003</v>
      </c>
      <c r="W2" s="104">
        <v>87</v>
      </c>
      <c r="X2" s="104">
        <v>0.29799999999999999</v>
      </c>
      <c r="Y2" s="104">
        <v>88</v>
      </c>
      <c r="Z2" s="104">
        <v>149</v>
      </c>
      <c r="AA2" s="104">
        <v>8</v>
      </c>
      <c r="AB2" s="104">
        <v>2</v>
      </c>
      <c r="AC2" s="104">
        <v>0</v>
      </c>
      <c r="AD2" s="104">
        <v>1</v>
      </c>
      <c r="AE2" s="104">
        <v>2</v>
      </c>
      <c r="AF2" s="104" t="s">
        <v>59</v>
      </c>
      <c r="AG2" s="104" t="s">
        <v>37</v>
      </c>
      <c r="AH2" s="104" t="s">
        <v>60</v>
      </c>
      <c r="AI2" s="104" t="s">
        <v>837</v>
      </c>
      <c r="AJ2" s="104" t="s">
        <v>820</v>
      </c>
      <c r="AK2" s="105">
        <f>IFERROR(VLOOKUP(B2,'CWS Salary 2024'!A1:I39,7,FALSE),"No salary data")</f>
        <v>12500000</v>
      </c>
    </row>
    <row r="3" spans="1:37" x14ac:dyDescent="0.25">
      <c r="A3">
        <v>23</v>
      </c>
      <c r="B3" t="s">
        <v>111</v>
      </c>
      <c r="C3">
        <v>29</v>
      </c>
      <c r="D3" t="s">
        <v>11</v>
      </c>
      <c r="E3">
        <v>0.3</v>
      </c>
      <c r="F3">
        <v>12</v>
      </c>
      <c r="G3">
        <v>45</v>
      </c>
      <c r="H3">
        <v>40</v>
      </c>
      <c r="I3">
        <v>4</v>
      </c>
      <c r="J3">
        <v>11</v>
      </c>
      <c r="K3">
        <v>3</v>
      </c>
      <c r="L3">
        <v>1</v>
      </c>
      <c r="M3">
        <v>0</v>
      </c>
      <c r="N3">
        <v>0</v>
      </c>
      <c r="O3">
        <v>1</v>
      </c>
      <c r="P3">
        <v>0</v>
      </c>
      <c r="Q3">
        <v>5</v>
      </c>
      <c r="R3">
        <v>11</v>
      </c>
      <c r="S3">
        <v>0.27500000000000002</v>
      </c>
      <c r="T3">
        <v>0.35599999999999998</v>
      </c>
      <c r="U3">
        <v>0.4</v>
      </c>
      <c r="V3">
        <v>0.75600000000000001</v>
      </c>
      <c r="W3">
        <v>117</v>
      </c>
      <c r="X3">
        <v>0.33700000000000002</v>
      </c>
      <c r="Y3">
        <v>116</v>
      </c>
      <c r="Z3">
        <v>16</v>
      </c>
      <c r="AA3">
        <v>2</v>
      </c>
      <c r="AB3">
        <v>0</v>
      </c>
      <c r="AC3">
        <v>0</v>
      </c>
      <c r="AD3">
        <v>0</v>
      </c>
      <c r="AE3">
        <v>0</v>
      </c>
      <c r="AF3" t="s">
        <v>93</v>
      </c>
      <c r="AG3" t="s">
        <v>37</v>
      </c>
      <c r="AH3" t="s">
        <v>112</v>
      </c>
      <c r="AI3" t="s">
        <v>837</v>
      </c>
      <c r="AJ3" t="s">
        <v>820</v>
      </c>
      <c r="AK3" s="1" t="str">
        <f>IFERROR(VLOOKUP(B3,'CWS Salary 2024'!A2:I40,7,FALSE),"No salary data")</f>
        <v>No salary data</v>
      </c>
    </row>
    <row r="4" spans="1:37" x14ac:dyDescent="0.25">
      <c r="A4" s="19">
        <v>2</v>
      </c>
      <c r="B4" s="19" t="s">
        <v>39</v>
      </c>
      <c r="C4" s="19">
        <v>26</v>
      </c>
      <c r="D4" s="19" t="s">
        <v>40</v>
      </c>
      <c r="E4" s="19">
        <v>0.2</v>
      </c>
      <c r="F4" s="19">
        <v>149</v>
      </c>
      <c r="G4" s="19">
        <v>619</v>
      </c>
      <c r="H4" s="19">
        <v>570</v>
      </c>
      <c r="I4" s="19">
        <v>55</v>
      </c>
      <c r="J4" s="19">
        <v>140</v>
      </c>
      <c r="K4" s="19">
        <v>30</v>
      </c>
      <c r="L4" s="19">
        <v>1</v>
      </c>
      <c r="M4" s="19">
        <v>19</v>
      </c>
      <c r="N4" s="19">
        <v>70</v>
      </c>
      <c r="O4" s="19">
        <v>2</v>
      </c>
      <c r="P4" s="19">
        <v>0</v>
      </c>
      <c r="Q4" s="19">
        <v>38</v>
      </c>
      <c r="R4" s="19">
        <v>132</v>
      </c>
      <c r="S4" s="19">
        <v>0.246</v>
      </c>
      <c r="T4" s="19">
        <v>0.29699999999999999</v>
      </c>
      <c r="U4" s="19">
        <v>0.40200000000000002</v>
      </c>
      <c r="V4" s="19">
        <v>0.69899999999999995</v>
      </c>
      <c r="W4" s="19">
        <v>99</v>
      </c>
      <c r="X4" s="19">
        <v>0.30499999999999999</v>
      </c>
      <c r="Y4" s="19">
        <v>96</v>
      </c>
      <c r="Z4" s="19">
        <v>229</v>
      </c>
      <c r="AA4" s="19">
        <v>13</v>
      </c>
      <c r="AB4" s="19">
        <v>6</v>
      </c>
      <c r="AC4" s="19">
        <v>0</v>
      </c>
      <c r="AD4" s="19">
        <v>5</v>
      </c>
      <c r="AE4" s="19">
        <v>0</v>
      </c>
      <c r="AF4" s="19" t="s">
        <v>41</v>
      </c>
      <c r="AG4" s="19" t="s">
        <v>37</v>
      </c>
      <c r="AH4" s="19" t="s">
        <v>42</v>
      </c>
      <c r="AI4" s="19" t="s">
        <v>837</v>
      </c>
      <c r="AJ4" s="19" t="s">
        <v>820</v>
      </c>
      <c r="AK4" s="108">
        <f>IFERROR(VLOOKUP(B4,'CWS Salary 2024'!A3:I41,7,FALSE),"No salary data")</f>
        <v>5850000</v>
      </c>
    </row>
    <row r="5" spans="1:37" x14ac:dyDescent="0.25">
      <c r="A5">
        <v>3</v>
      </c>
      <c r="B5" t="s">
        <v>43</v>
      </c>
      <c r="C5">
        <v>29</v>
      </c>
      <c r="D5" t="s">
        <v>10</v>
      </c>
      <c r="E5">
        <v>0.2</v>
      </c>
      <c r="F5">
        <v>124</v>
      </c>
      <c r="G5">
        <v>445</v>
      </c>
      <c r="H5">
        <v>398</v>
      </c>
      <c r="I5">
        <v>40</v>
      </c>
      <c r="J5">
        <v>96</v>
      </c>
      <c r="K5">
        <v>12</v>
      </c>
      <c r="L5">
        <v>3</v>
      </c>
      <c r="M5">
        <v>1</v>
      </c>
      <c r="N5">
        <v>21</v>
      </c>
      <c r="O5">
        <v>5</v>
      </c>
      <c r="P5">
        <v>7</v>
      </c>
      <c r="Q5">
        <v>37</v>
      </c>
      <c r="R5">
        <v>67</v>
      </c>
      <c r="S5">
        <v>0.24099999999999999</v>
      </c>
      <c r="T5">
        <v>0.312</v>
      </c>
      <c r="U5">
        <v>0.29399999999999998</v>
      </c>
      <c r="V5">
        <v>0.60599999999999998</v>
      </c>
      <c r="W5">
        <v>76</v>
      </c>
      <c r="X5">
        <v>0.28199999999999997</v>
      </c>
      <c r="Y5">
        <v>83</v>
      </c>
      <c r="Z5">
        <v>117</v>
      </c>
      <c r="AA5">
        <v>3</v>
      </c>
      <c r="AB5">
        <v>4</v>
      </c>
      <c r="AC5">
        <v>6</v>
      </c>
      <c r="AD5">
        <v>0</v>
      </c>
      <c r="AE5">
        <v>0</v>
      </c>
      <c r="AF5" t="s">
        <v>44</v>
      </c>
      <c r="AG5" t="s">
        <v>37</v>
      </c>
      <c r="AH5" t="s">
        <v>45</v>
      </c>
      <c r="AI5" t="s">
        <v>837</v>
      </c>
      <c r="AJ5" t="s">
        <v>820</v>
      </c>
      <c r="AK5" s="1">
        <f>IFERROR(VLOOKUP(B5,'CWS Salary 2024'!A4:I42,7,FALSE),"No salary data")</f>
        <v>4300000</v>
      </c>
    </row>
    <row r="6" spans="1:37" x14ac:dyDescent="0.25">
      <c r="A6" s="19">
        <v>4</v>
      </c>
      <c r="B6" s="19" t="s">
        <v>46</v>
      </c>
      <c r="C6" s="19">
        <v>30</v>
      </c>
      <c r="D6" s="19" t="s">
        <v>47</v>
      </c>
      <c r="E6" s="19">
        <v>0.2</v>
      </c>
      <c r="F6" s="19">
        <v>102</v>
      </c>
      <c r="G6" s="19">
        <v>363</v>
      </c>
      <c r="H6" s="19">
        <v>337</v>
      </c>
      <c r="I6" s="19">
        <v>39</v>
      </c>
      <c r="J6" s="19">
        <v>77</v>
      </c>
      <c r="K6" s="19">
        <v>14</v>
      </c>
      <c r="L6" s="19">
        <v>0</v>
      </c>
      <c r="M6" s="19">
        <v>18</v>
      </c>
      <c r="N6" s="19">
        <v>41</v>
      </c>
      <c r="O6" s="19">
        <v>2</v>
      </c>
      <c r="P6" s="19">
        <v>1</v>
      </c>
      <c r="Q6" s="19">
        <v>14</v>
      </c>
      <c r="R6" s="19">
        <v>112</v>
      </c>
      <c r="S6" s="19">
        <v>0.22800000000000001</v>
      </c>
      <c r="T6" s="19">
        <v>0.27500000000000002</v>
      </c>
      <c r="U6" s="19">
        <v>0.43</v>
      </c>
      <c r="V6" s="19">
        <v>0.70599999999999996</v>
      </c>
      <c r="W6" s="19">
        <v>99</v>
      </c>
      <c r="X6" s="19">
        <v>0.30299999999999999</v>
      </c>
      <c r="Y6" s="19">
        <v>95</v>
      </c>
      <c r="Z6" s="19">
        <v>145</v>
      </c>
      <c r="AA6" s="19">
        <v>8</v>
      </c>
      <c r="AB6" s="19">
        <v>9</v>
      </c>
      <c r="AC6" s="19">
        <v>0</v>
      </c>
      <c r="AD6" s="19">
        <v>3</v>
      </c>
      <c r="AE6" s="19">
        <v>0</v>
      </c>
      <c r="AF6" s="19" t="s">
        <v>48</v>
      </c>
      <c r="AG6" s="19" t="s">
        <v>37</v>
      </c>
      <c r="AH6" s="19" t="s">
        <v>49</v>
      </c>
      <c r="AI6" s="19" t="s">
        <v>837</v>
      </c>
      <c r="AJ6" s="19" t="s">
        <v>820</v>
      </c>
      <c r="AK6" s="108" t="str">
        <f>IFERROR(VLOOKUP(B6,'CWS Salary 2024'!A5:I43,7,FALSE),"No salary data")</f>
        <v>No salary data</v>
      </c>
    </row>
    <row r="7" spans="1:37" x14ac:dyDescent="0.25">
      <c r="A7">
        <v>24</v>
      </c>
      <c r="B7" t="s">
        <v>113</v>
      </c>
      <c r="C7">
        <v>30</v>
      </c>
      <c r="D7" t="s">
        <v>70</v>
      </c>
      <c r="E7">
        <v>0.2</v>
      </c>
      <c r="F7">
        <v>15</v>
      </c>
      <c r="G7">
        <v>39</v>
      </c>
      <c r="H7">
        <v>33</v>
      </c>
      <c r="I7">
        <v>3</v>
      </c>
      <c r="J7">
        <v>8</v>
      </c>
      <c r="K7">
        <v>1</v>
      </c>
      <c r="L7">
        <v>1</v>
      </c>
      <c r="M7">
        <v>0</v>
      </c>
      <c r="N7">
        <v>1</v>
      </c>
      <c r="O7">
        <v>1</v>
      </c>
      <c r="P7">
        <v>0</v>
      </c>
      <c r="Q7">
        <v>5</v>
      </c>
      <c r="R7">
        <v>10</v>
      </c>
      <c r="S7">
        <v>0.24199999999999999</v>
      </c>
      <c r="T7">
        <v>0.34200000000000003</v>
      </c>
      <c r="U7">
        <v>0.33300000000000002</v>
      </c>
      <c r="V7">
        <v>0.67500000000000004</v>
      </c>
      <c r="W7">
        <v>96</v>
      </c>
      <c r="X7">
        <v>0.33100000000000002</v>
      </c>
      <c r="Y7">
        <v>111</v>
      </c>
      <c r="Z7">
        <v>11</v>
      </c>
      <c r="AA7">
        <v>1</v>
      </c>
      <c r="AB7">
        <v>0</v>
      </c>
      <c r="AC7">
        <v>1</v>
      </c>
      <c r="AD7">
        <v>0</v>
      </c>
      <c r="AE7">
        <v>0</v>
      </c>
      <c r="AF7" t="s">
        <v>114</v>
      </c>
      <c r="AG7" t="s">
        <v>37</v>
      </c>
      <c r="AH7" t="s">
        <v>115</v>
      </c>
      <c r="AI7" t="s">
        <v>837</v>
      </c>
      <c r="AJ7" t="s">
        <v>820</v>
      </c>
      <c r="AK7" s="1" t="str">
        <f>IFERROR(VLOOKUP(B7,'CWS Salary 2024'!A6:I44,7,FALSE),"No salary data")</f>
        <v>No salary data</v>
      </c>
    </row>
    <row r="8" spans="1:37" x14ac:dyDescent="0.25">
      <c r="A8" s="19">
        <v>1</v>
      </c>
      <c r="B8" s="19" t="s">
        <v>34</v>
      </c>
      <c r="C8" s="19">
        <v>25</v>
      </c>
      <c r="D8" s="19" t="s">
        <v>35</v>
      </c>
      <c r="E8" s="19">
        <v>0.1</v>
      </c>
      <c r="F8" s="19">
        <v>125</v>
      </c>
      <c r="G8" s="19">
        <v>394</v>
      </c>
      <c r="H8" s="19">
        <v>377</v>
      </c>
      <c r="I8" s="19">
        <v>36</v>
      </c>
      <c r="J8" s="19">
        <v>79</v>
      </c>
      <c r="K8" s="19">
        <v>14</v>
      </c>
      <c r="L8" s="19">
        <v>1</v>
      </c>
      <c r="M8" s="19">
        <v>12</v>
      </c>
      <c r="N8" s="19">
        <v>37</v>
      </c>
      <c r="O8" s="19">
        <v>6</v>
      </c>
      <c r="P8" s="19">
        <v>3</v>
      </c>
      <c r="Q8" s="19">
        <v>17</v>
      </c>
      <c r="R8" s="19">
        <v>122</v>
      </c>
      <c r="S8" s="19">
        <v>0.21</v>
      </c>
      <c r="T8" s="19">
        <v>0.24399999999999999</v>
      </c>
      <c r="U8" s="19">
        <v>0.34699999999999998</v>
      </c>
      <c r="V8" s="19">
        <v>0.59099999999999997</v>
      </c>
      <c r="W8" s="19">
        <v>68</v>
      </c>
      <c r="X8" s="19">
        <v>0.26400000000000001</v>
      </c>
      <c r="Y8" s="19">
        <v>68</v>
      </c>
      <c r="Z8" s="19">
        <v>131</v>
      </c>
      <c r="AA8" s="19">
        <v>12</v>
      </c>
      <c r="AB8" s="19">
        <v>0</v>
      </c>
      <c r="AC8" s="19">
        <v>0</v>
      </c>
      <c r="AD8" s="19">
        <v>0</v>
      </c>
      <c r="AE8" s="19">
        <v>0</v>
      </c>
      <c r="AF8" s="19" t="s">
        <v>36</v>
      </c>
      <c r="AG8" s="19" t="s">
        <v>37</v>
      </c>
      <c r="AH8" s="19" t="s">
        <v>38</v>
      </c>
      <c r="AI8" s="19" t="s">
        <v>837</v>
      </c>
      <c r="AJ8" s="19" t="s">
        <v>820</v>
      </c>
      <c r="AK8" s="108">
        <f>IFERROR(VLOOKUP(B8,'CWS Salary 2024'!A7:I45,7,FALSE),"No salary data")</f>
        <v>745000</v>
      </c>
    </row>
    <row r="9" spans="1:37" x14ac:dyDescent="0.25">
      <c r="A9">
        <v>25</v>
      </c>
      <c r="B9" t="s">
        <v>116</v>
      </c>
      <c r="C9">
        <v>25</v>
      </c>
      <c r="D9" t="s">
        <v>74</v>
      </c>
      <c r="E9">
        <v>0.1</v>
      </c>
      <c r="F9">
        <v>13</v>
      </c>
      <c r="G9">
        <v>38</v>
      </c>
      <c r="H9">
        <v>33</v>
      </c>
      <c r="I9">
        <v>1</v>
      </c>
      <c r="J9">
        <v>9</v>
      </c>
      <c r="K9">
        <v>0</v>
      </c>
      <c r="L9">
        <v>0</v>
      </c>
      <c r="M9">
        <v>0</v>
      </c>
      <c r="N9">
        <v>4</v>
      </c>
      <c r="O9">
        <v>0</v>
      </c>
      <c r="P9">
        <v>1</v>
      </c>
      <c r="Q9">
        <v>4</v>
      </c>
      <c r="R9">
        <v>10</v>
      </c>
      <c r="S9">
        <v>0.27300000000000002</v>
      </c>
      <c r="T9">
        <v>0.36799999999999999</v>
      </c>
      <c r="U9">
        <v>0.27300000000000002</v>
      </c>
      <c r="V9">
        <v>0.64100000000000001</v>
      </c>
      <c r="W9">
        <v>89</v>
      </c>
      <c r="X9">
        <v>0.28499999999999998</v>
      </c>
      <c r="Y9">
        <v>91</v>
      </c>
      <c r="Z9">
        <v>9</v>
      </c>
      <c r="AA9">
        <v>0</v>
      </c>
      <c r="AB9">
        <v>1</v>
      </c>
      <c r="AC9">
        <v>0</v>
      </c>
      <c r="AD9">
        <v>0</v>
      </c>
      <c r="AE9">
        <v>0</v>
      </c>
      <c r="AF9" t="s">
        <v>117</v>
      </c>
      <c r="AG9" t="s">
        <v>37</v>
      </c>
      <c r="AH9" t="s">
        <v>118</v>
      </c>
      <c r="AI9" t="s">
        <v>837</v>
      </c>
      <c r="AJ9" t="s">
        <v>820</v>
      </c>
      <c r="AK9" s="1" t="str">
        <f>IFERROR(VLOOKUP(B9,'CWS Salary 2024'!A8:I46,7,FALSE),"No salary data")</f>
        <v>No salary data</v>
      </c>
    </row>
    <row r="10" spans="1:37" x14ac:dyDescent="0.25">
      <c r="A10" s="19">
        <v>11</v>
      </c>
      <c r="B10" s="19" t="s">
        <v>73</v>
      </c>
      <c r="C10" s="19">
        <v>36</v>
      </c>
      <c r="D10" s="19" t="s">
        <v>74</v>
      </c>
      <c r="E10" s="19">
        <v>0</v>
      </c>
      <c r="F10" s="19">
        <v>70</v>
      </c>
      <c r="G10" s="19">
        <v>297</v>
      </c>
      <c r="H10" s="19">
        <v>271</v>
      </c>
      <c r="I10" s="19">
        <v>33</v>
      </c>
      <c r="J10" s="19">
        <v>72</v>
      </c>
      <c r="K10" s="19">
        <v>14</v>
      </c>
      <c r="L10" s="19">
        <v>1</v>
      </c>
      <c r="M10" s="19">
        <v>5</v>
      </c>
      <c r="N10" s="19">
        <v>19</v>
      </c>
      <c r="O10" s="19">
        <v>6</v>
      </c>
      <c r="P10" s="19">
        <v>3</v>
      </c>
      <c r="Q10" s="19">
        <v>25</v>
      </c>
      <c r="R10" s="19">
        <v>63</v>
      </c>
      <c r="S10" s="19">
        <v>0.26600000000000001</v>
      </c>
      <c r="T10" s="19">
        <v>0.33</v>
      </c>
      <c r="U10" s="19">
        <v>0.38</v>
      </c>
      <c r="V10" s="19">
        <v>0.71</v>
      </c>
      <c r="W10" s="19">
        <v>104</v>
      </c>
      <c r="X10" s="19">
        <v>0.32700000000000001</v>
      </c>
      <c r="Y10" s="19">
        <v>112</v>
      </c>
      <c r="Z10" s="19">
        <v>103</v>
      </c>
      <c r="AA10" s="19">
        <v>2</v>
      </c>
      <c r="AB10" s="19">
        <v>1</v>
      </c>
      <c r="AC10" s="19">
        <v>0</v>
      </c>
      <c r="AD10" s="19">
        <v>0</v>
      </c>
      <c r="AE10" s="19">
        <v>0</v>
      </c>
      <c r="AF10" s="19" t="s">
        <v>75</v>
      </c>
      <c r="AG10" s="19" t="s">
        <v>37</v>
      </c>
      <c r="AH10" s="19" t="s">
        <v>76</v>
      </c>
      <c r="AI10" s="19" t="s">
        <v>837</v>
      </c>
      <c r="AJ10" s="19" t="s">
        <v>820</v>
      </c>
      <c r="AK10" s="108" t="str">
        <f>IFERROR(VLOOKUP(B10,'CWS Salary 2024'!A9:I47,7,FALSE),"No salary data")</f>
        <v>No salary data</v>
      </c>
    </row>
    <row r="11" spans="1:37" x14ac:dyDescent="0.25">
      <c r="A11">
        <v>16</v>
      </c>
      <c r="B11" t="s">
        <v>89</v>
      </c>
      <c r="C11">
        <v>23</v>
      </c>
      <c r="D11" t="s">
        <v>10</v>
      </c>
      <c r="E11">
        <v>0</v>
      </c>
      <c r="F11">
        <v>33</v>
      </c>
      <c r="G11">
        <v>121</v>
      </c>
      <c r="H11">
        <v>114</v>
      </c>
      <c r="I11">
        <v>9</v>
      </c>
      <c r="J11">
        <v>24</v>
      </c>
      <c r="K11">
        <v>6</v>
      </c>
      <c r="L11">
        <v>0</v>
      </c>
      <c r="M11">
        <v>2</v>
      </c>
      <c r="N11">
        <v>8</v>
      </c>
      <c r="O11">
        <v>4</v>
      </c>
      <c r="P11">
        <v>0</v>
      </c>
      <c r="Q11">
        <v>6</v>
      </c>
      <c r="R11">
        <v>31</v>
      </c>
      <c r="S11">
        <v>0.21099999999999999</v>
      </c>
      <c r="T11">
        <v>0.25</v>
      </c>
      <c r="U11">
        <v>0.316</v>
      </c>
      <c r="V11">
        <v>0.56599999999999995</v>
      </c>
      <c r="W11">
        <v>62</v>
      </c>
      <c r="X11">
        <v>0.26300000000000001</v>
      </c>
      <c r="Y11">
        <v>60</v>
      </c>
      <c r="Z11">
        <v>36</v>
      </c>
      <c r="AA11">
        <v>1</v>
      </c>
      <c r="AB11">
        <v>0</v>
      </c>
      <c r="AC11">
        <v>1</v>
      </c>
      <c r="AD11">
        <v>0</v>
      </c>
      <c r="AE11">
        <v>0</v>
      </c>
      <c r="AF11" t="s">
        <v>90</v>
      </c>
      <c r="AG11" t="s">
        <v>37</v>
      </c>
      <c r="AH11" t="s">
        <v>91</v>
      </c>
      <c r="AI11" t="s">
        <v>837</v>
      </c>
      <c r="AJ11" t="s">
        <v>820</v>
      </c>
      <c r="AK11" s="1" t="str">
        <f>IFERROR(VLOOKUP(B11,'CWS Salary 2024'!A10:I48,7,FALSE),"No salary data")</f>
        <v>No salary data</v>
      </c>
    </row>
    <row r="12" spans="1:37" x14ac:dyDescent="0.25">
      <c r="A12" s="19">
        <v>21</v>
      </c>
      <c r="B12" s="19" t="s">
        <v>104</v>
      </c>
      <c r="C12" s="19">
        <v>25</v>
      </c>
      <c r="D12" s="19" t="s">
        <v>47</v>
      </c>
      <c r="E12" s="19">
        <v>0</v>
      </c>
      <c r="F12" s="19">
        <v>23</v>
      </c>
      <c r="G12" s="19">
        <v>71</v>
      </c>
      <c r="H12" s="19">
        <v>67</v>
      </c>
      <c r="I12" s="19">
        <v>4</v>
      </c>
      <c r="J12" s="19">
        <v>12</v>
      </c>
      <c r="K12" s="19">
        <v>1</v>
      </c>
      <c r="L12" s="19">
        <v>0</v>
      </c>
      <c r="M12" s="19">
        <v>0</v>
      </c>
      <c r="N12" s="19">
        <v>3</v>
      </c>
      <c r="O12" s="19">
        <v>1</v>
      </c>
      <c r="P12" s="19">
        <v>0</v>
      </c>
      <c r="Q12" s="19">
        <v>4</v>
      </c>
      <c r="R12" s="19">
        <v>28</v>
      </c>
      <c r="S12" s="19">
        <v>0.17899999999999999</v>
      </c>
      <c r="T12" s="19">
        <v>0.22500000000000001</v>
      </c>
      <c r="U12" s="19">
        <v>0.19400000000000001</v>
      </c>
      <c r="V12" s="19">
        <v>0.41899999999999998</v>
      </c>
      <c r="W12" s="19">
        <v>23</v>
      </c>
      <c r="X12" s="19">
        <v>0.19400000000000001</v>
      </c>
      <c r="Y12" s="19">
        <v>15</v>
      </c>
      <c r="Z12" s="19">
        <v>13</v>
      </c>
      <c r="AA12" s="19">
        <v>3</v>
      </c>
      <c r="AB12" s="19">
        <v>0</v>
      </c>
      <c r="AC12" s="19">
        <v>0</v>
      </c>
      <c r="AD12" s="19">
        <v>0</v>
      </c>
      <c r="AE12" s="19">
        <v>0</v>
      </c>
      <c r="AF12" s="19" t="s">
        <v>105</v>
      </c>
      <c r="AG12" s="19" t="s">
        <v>37</v>
      </c>
      <c r="AH12" s="19" t="s">
        <v>106</v>
      </c>
      <c r="AI12" s="19" t="s">
        <v>837</v>
      </c>
      <c r="AJ12" s="19" t="s">
        <v>820</v>
      </c>
      <c r="AK12" s="108">
        <f>IFERROR(VLOOKUP(B12,'CWS Salary 2024'!A11:I49,7,FALSE),"No salary data")</f>
        <v>171054</v>
      </c>
    </row>
    <row r="13" spans="1:37" x14ac:dyDescent="0.25">
      <c r="A13">
        <v>26</v>
      </c>
      <c r="B13" t="s">
        <v>119</v>
      </c>
      <c r="C13">
        <v>35</v>
      </c>
      <c r="D13" t="s">
        <v>74</v>
      </c>
      <c r="E13">
        <v>0</v>
      </c>
      <c r="F13">
        <v>17</v>
      </c>
      <c r="G13">
        <v>32</v>
      </c>
      <c r="H13">
        <v>25</v>
      </c>
      <c r="I13">
        <v>1</v>
      </c>
      <c r="J13">
        <v>4</v>
      </c>
      <c r="K13">
        <v>2</v>
      </c>
      <c r="L13">
        <v>0</v>
      </c>
      <c r="M13">
        <v>1</v>
      </c>
      <c r="N13">
        <v>4</v>
      </c>
      <c r="O13">
        <v>2</v>
      </c>
      <c r="P13">
        <v>0</v>
      </c>
      <c r="Q13">
        <v>4</v>
      </c>
      <c r="R13">
        <v>8</v>
      </c>
      <c r="S13">
        <v>0.16</v>
      </c>
      <c r="T13">
        <v>0.28999999999999998</v>
      </c>
      <c r="U13">
        <v>0.36</v>
      </c>
      <c r="V13">
        <v>0.65</v>
      </c>
      <c r="W13">
        <v>86</v>
      </c>
      <c r="X13">
        <v>0.30299999999999999</v>
      </c>
      <c r="Y13">
        <v>83</v>
      </c>
      <c r="Z13">
        <v>9</v>
      </c>
      <c r="AA13">
        <v>0</v>
      </c>
      <c r="AB13">
        <v>1</v>
      </c>
      <c r="AC13">
        <v>1</v>
      </c>
      <c r="AD13">
        <v>1</v>
      </c>
      <c r="AE13">
        <v>0</v>
      </c>
      <c r="AF13" t="s">
        <v>120</v>
      </c>
      <c r="AG13" t="s">
        <v>37</v>
      </c>
      <c r="AH13" t="s">
        <v>121</v>
      </c>
      <c r="AI13" t="s">
        <v>837</v>
      </c>
      <c r="AJ13" t="s">
        <v>820</v>
      </c>
      <c r="AK13" s="1" t="str">
        <f>IFERROR(VLOOKUP(B13,'CWS Salary 2024'!A12:I50,7,FALSE),"No salary data")</f>
        <v>No salary data</v>
      </c>
    </row>
    <row r="14" spans="1:37" x14ac:dyDescent="0.25">
      <c r="A14" s="19">
        <v>30</v>
      </c>
      <c r="B14" s="19" t="s">
        <v>131</v>
      </c>
      <c r="C14" s="19">
        <v>34</v>
      </c>
      <c r="D14" s="19" t="s">
        <v>132</v>
      </c>
      <c r="E14" s="19">
        <v>0</v>
      </c>
      <c r="F14" s="19">
        <v>1</v>
      </c>
      <c r="G14" s="19">
        <v>0</v>
      </c>
      <c r="H14" s="19">
        <v>0</v>
      </c>
      <c r="I14" s="19">
        <v>0</v>
      </c>
      <c r="J14" s="19">
        <v>0</v>
      </c>
      <c r="K14" s="19">
        <v>0</v>
      </c>
      <c r="L14" s="19">
        <v>0</v>
      </c>
      <c r="M14" s="19">
        <v>0</v>
      </c>
      <c r="N14" s="19">
        <v>0</v>
      </c>
      <c r="O14" s="19">
        <v>0</v>
      </c>
      <c r="P14" s="19">
        <v>0</v>
      </c>
      <c r="Q14" s="19">
        <v>0</v>
      </c>
      <c r="R14" s="19">
        <v>0</v>
      </c>
      <c r="S14" s="19"/>
      <c r="T14" s="19"/>
      <c r="U14" s="19"/>
      <c r="V14" s="19"/>
      <c r="W14" s="19"/>
      <c r="X14" s="19"/>
      <c r="Y14" s="19"/>
      <c r="Z14" s="19">
        <v>0</v>
      </c>
      <c r="AA14" s="19">
        <v>0</v>
      </c>
      <c r="AB14" s="19">
        <v>0</v>
      </c>
      <c r="AC14" s="19">
        <v>0</v>
      </c>
      <c r="AD14" s="19">
        <v>0</v>
      </c>
      <c r="AE14" s="19">
        <v>0</v>
      </c>
      <c r="AF14" s="19" t="s">
        <v>133</v>
      </c>
      <c r="AG14" s="19" t="s">
        <v>37</v>
      </c>
      <c r="AH14" s="19" t="s">
        <v>134</v>
      </c>
      <c r="AI14" s="19" t="s">
        <v>837</v>
      </c>
      <c r="AJ14" s="19" t="s">
        <v>820</v>
      </c>
      <c r="AK14" s="108" t="str">
        <f>IFERROR(VLOOKUP(B14,'CWS Salary 2024'!A13:I51,7,FALSE),"No salary data")</f>
        <v>No salary data</v>
      </c>
    </row>
    <row r="15" spans="1:37" x14ac:dyDescent="0.25">
      <c r="A15">
        <v>31</v>
      </c>
      <c r="B15" t="s">
        <v>135</v>
      </c>
      <c r="C15">
        <v>28</v>
      </c>
      <c r="D15" t="s">
        <v>132</v>
      </c>
      <c r="E15">
        <v>0</v>
      </c>
      <c r="F15">
        <v>1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 t="s">
        <v>133</v>
      </c>
      <c r="AG15" t="s">
        <v>37</v>
      </c>
      <c r="AH15" t="s">
        <v>136</v>
      </c>
      <c r="AI15" t="s">
        <v>837</v>
      </c>
      <c r="AJ15" t="s">
        <v>820</v>
      </c>
      <c r="AK15" s="1" t="str">
        <f>IFERROR(VLOOKUP(B15,'CWS Salary 2024'!A14:I52,7,FALSE),"No salary data")</f>
        <v>No salary data</v>
      </c>
    </row>
    <row r="16" spans="1:37" x14ac:dyDescent="0.25">
      <c r="A16" s="19">
        <v>18</v>
      </c>
      <c r="B16" s="19" t="s">
        <v>95</v>
      </c>
      <c r="C16" s="19">
        <v>34</v>
      </c>
      <c r="D16" s="19" t="s">
        <v>74</v>
      </c>
      <c r="E16" s="19">
        <v>-0.1</v>
      </c>
      <c r="F16" s="19">
        <v>25</v>
      </c>
      <c r="G16" s="19">
        <v>85</v>
      </c>
      <c r="H16" s="19">
        <v>71</v>
      </c>
      <c r="I16" s="19">
        <v>6</v>
      </c>
      <c r="J16" s="19">
        <v>15</v>
      </c>
      <c r="K16" s="19">
        <v>4</v>
      </c>
      <c r="L16" s="19">
        <v>0</v>
      </c>
      <c r="M16" s="19">
        <v>0</v>
      </c>
      <c r="N16" s="19">
        <v>4</v>
      </c>
      <c r="O16" s="19">
        <v>2</v>
      </c>
      <c r="P16" s="19">
        <v>0</v>
      </c>
      <c r="Q16" s="19">
        <v>13</v>
      </c>
      <c r="R16" s="19">
        <v>20</v>
      </c>
      <c r="S16" s="19">
        <v>0.21099999999999999</v>
      </c>
      <c r="T16" s="19">
        <v>0.32900000000000001</v>
      </c>
      <c r="U16" s="19">
        <v>0.26800000000000002</v>
      </c>
      <c r="V16" s="19">
        <v>0.59699999999999998</v>
      </c>
      <c r="W16" s="19">
        <v>75</v>
      </c>
      <c r="X16" s="19">
        <v>0.29499999999999998</v>
      </c>
      <c r="Y16" s="19">
        <v>85</v>
      </c>
      <c r="Z16" s="19">
        <v>19</v>
      </c>
      <c r="AA16" s="19">
        <v>2</v>
      </c>
      <c r="AB16" s="19">
        <v>0</v>
      </c>
      <c r="AC16" s="19">
        <v>0</v>
      </c>
      <c r="AD16" s="19">
        <v>1</v>
      </c>
      <c r="AE16" s="19">
        <v>0</v>
      </c>
      <c r="AF16" s="19" t="s">
        <v>96</v>
      </c>
      <c r="AG16" s="19" t="s">
        <v>37</v>
      </c>
      <c r="AH16" s="19" t="s">
        <v>97</v>
      </c>
      <c r="AI16" s="19" t="s">
        <v>837</v>
      </c>
      <c r="AJ16" s="19" t="s">
        <v>820</v>
      </c>
      <c r="AK16" s="108" t="str">
        <f>IFERROR(VLOOKUP(B16,'CWS Salary 2024'!A15:I53,7,FALSE),"No salary data")</f>
        <v>No salary data</v>
      </c>
    </row>
    <row r="17" spans="1:37" x14ac:dyDescent="0.25">
      <c r="A17">
        <v>20</v>
      </c>
      <c r="B17" t="s">
        <v>101</v>
      </c>
      <c r="C17">
        <v>25</v>
      </c>
      <c r="D17" t="s">
        <v>74</v>
      </c>
      <c r="E17">
        <v>-0.1</v>
      </c>
      <c r="F17">
        <v>22</v>
      </c>
      <c r="G17">
        <v>75</v>
      </c>
      <c r="H17">
        <v>67</v>
      </c>
      <c r="I17">
        <v>10</v>
      </c>
      <c r="J17">
        <v>14</v>
      </c>
      <c r="K17">
        <v>5</v>
      </c>
      <c r="L17">
        <v>0</v>
      </c>
      <c r="M17">
        <v>1</v>
      </c>
      <c r="N17">
        <v>5</v>
      </c>
      <c r="O17">
        <v>0</v>
      </c>
      <c r="P17">
        <v>1</v>
      </c>
      <c r="Q17">
        <v>8</v>
      </c>
      <c r="R17">
        <v>21</v>
      </c>
      <c r="S17">
        <v>0.20899999999999999</v>
      </c>
      <c r="T17">
        <v>0.29299999999999998</v>
      </c>
      <c r="U17">
        <v>0.32800000000000001</v>
      </c>
      <c r="V17">
        <v>0.622</v>
      </c>
      <c r="W17">
        <v>79</v>
      </c>
      <c r="X17">
        <v>0.28000000000000003</v>
      </c>
      <c r="Y17">
        <v>84</v>
      </c>
      <c r="Z17">
        <v>22</v>
      </c>
      <c r="AA17">
        <v>0</v>
      </c>
      <c r="AB17">
        <v>0</v>
      </c>
      <c r="AC17">
        <v>0</v>
      </c>
      <c r="AD17">
        <v>0</v>
      </c>
      <c r="AE17">
        <v>0</v>
      </c>
      <c r="AF17" t="s">
        <v>102</v>
      </c>
      <c r="AG17" t="s">
        <v>37</v>
      </c>
      <c r="AH17" t="s">
        <v>103</v>
      </c>
      <c r="AI17" t="s">
        <v>837</v>
      </c>
      <c r="AJ17" t="s">
        <v>820</v>
      </c>
      <c r="AK17" s="1">
        <f>IFERROR(VLOOKUP(B17,'CWS Salary 2024'!A16:I54,7,FALSE),"No salary data")</f>
        <v>163098</v>
      </c>
    </row>
    <row r="18" spans="1:37" x14ac:dyDescent="0.25">
      <c r="A18" s="19">
        <v>17</v>
      </c>
      <c r="B18" s="19" t="s">
        <v>92</v>
      </c>
      <c r="C18" s="19">
        <v>22</v>
      </c>
      <c r="D18" s="19" t="s">
        <v>11</v>
      </c>
      <c r="E18" s="19">
        <v>-0.2</v>
      </c>
      <c r="F18" s="19">
        <v>32</v>
      </c>
      <c r="G18" s="19">
        <v>108</v>
      </c>
      <c r="H18" s="19">
        <v>99</v>
      </c>
      <c r="I18" s="19">
        <v>13</v>
      </c>
      <c r="J18" s="19">
        <v>20</v>
      </c>
      <c r="K18" s="19">
        <v>4</v>
      </c>
      <c r="L18" s="19">
        <v>0</v>
      </c>
      <c r="M18" s="19">
        <v>3</v>
      </c>
      <c r="N18" s="19">
        <v>11</v>
      </c>
      <c r="O18" s="19">
        <v>0</v>
      </c>
      <c r="P18" s="19">
        <v>2</v>
      </c>
      <c r="Q18" s="19">
        <v>7</v>
      </c>
      <c r="R18" s="19">
        <v>22</v>
      </c>
      <c r="S18" s="19">
        <v>0.20200000000000001</v>
      </c>
      <c r="T18" s="19">
        <v>0.252</v>
      </c>
      <c r="U18" s="19">
        <v>0.33300000000000002</v>
      </c>
      <c r="V18" s="19">
        <v>0.58599999999999997</v>
      </c>
      <c r="W18" s="19">
        <v>67</v>
      </c>
      <c r="X18" s="19">
        <v>0.27300000000000002</v>
      </c>
      <c r="Y18" s="19">
        <v>80</v>
      </c>
      <c r="Z18" s="19">
        <v>33</v>
      </c>
      <c r="AA18" s="19">
        <v>3</v>
      </c>
      <c r="AB18" s="19">
        <v>0</v>
      </c>
      <c r="AC18" s="19">
        <v>0</v>
      </c>
      <c r="AD18" s="19">
        <v>1</v>
      </c>
      <c r="AE18" s="19">
        <v>0</v>
      </c>
      <c r="AF18" s="19" t="s">
        <v>93</v>
      </c>
      <c r="AG18" s="19" t="s">
        <v>37</v>
      </c>
      <c r="AH18" s="19" t="s">
        <v>94</v>
      </c>
      <c r="AI18" s="19" t="s">
        <v>837</v>
      </c>
      <c r="AJ18" s="19" t="s">
        <v>820</v>
      </c>
      <c r="AK18" s="108">
        <f>IFERROR(VLOOKUP(B18,'CWS Salary 2024'!A17:I55,7,FALSE),"No salary data")</f>
        <v>206856</v>
      </c>
    </row>
    <row r="19" spans="1:37" x14ac:dyDescent="0.25">
      <c r="A19">
        <v>28</v>
      </c>
      <c r="B19" t="s">
        <v>125</v>
      </c>
      <c r="C19">
        <v>33</v>
      </c>
      <c r="D19" t="s">
        <v>58</v>
      </c>
      <c r="E19">
        <v>-0.2</v>
      </c>
      <c r="F19">
        <v>14</v>
      </c>
      <c r="G19">
        <v>17</v>
      </c>
      <c r="H19">
        <v>14</v>
      </c>
      <c r="I19">
        <v>4</v>
      </c>
      <c r="J19">
        <v>1</v>
      </c>
      <c r="K19">
        <v>0</v>
      </c>
      <c r="L19">
        <v>0</v>
      </c>
      <c r="M19">
        <v>0</v>
      </c>
      <c r="N19">
        <v>1</v>
      </c>
      <c r="O19">
        <v>2</v>
      </c>
      <c r="P19">
        <v>0</v>
      </c>
      <c r="Q19">
        <v>2</v>
      </c>
      <c r="R19">
        <v>4</v>
      </c>
      <c r="S19">
        <v>7.0999999999999994E-2</v>
      </c>
      <c r="T19">
        <v>0.17599999999999999</v>
      </c>
      <c r="U19">
        <v>7.0999999999999994E-2</v>
      </c>
      <c r="V19">
        <v>0.248</v>
      </c>
      <c r="W19">
        <v>-24</v>
      </c>
      <c r="X19">
        <v>0.21</v>
      </c>
      <c r="Y19">
        <v>8</v>
      </c>
      <c r="Z19">
        <v>1</v>
      </c>
      <c r="AA19">
        <v>1</v>
      </c>
      <c r="AB19">
        <v>0</v>
      </c>
      <c r="AC19">
        <v>0</v>
      </c>
      <c r="AD19">
        <v>1</v>
      </c>
      <c r="AE19">
        <v>0</v>
      </c>
      <c r="AF19" t="s">
        <v>126</v>
      </c>
      <c r="AG19" t="s">
        <v>37</v>
      </c>
      <c r="AH19" t="s">
        <v>127</v>
      </c>
      <c r="AI19" t="s">
        <v>837</v>
      </c>
      <c r="AJ19" t="s">
        <v>820</v>
      </c>
      <c r="AK19" s="1" t="str">
        <f>IFERROR(VLOOKUP(B19,'CWS Salary 2024'!A18:I56,7,FALSE),"No salary data")</f>
        <v>No salary data</v>
      </c>
    </row>
    <row r="20" spans="1:37" x14ac:dyDescent="0.25">
      <c r="A20" s="19">
        <v>29</v>
      </c>
      <c r="B20" s="19" t="s">
        <v>128</v>
      </c>
      <c r="C20" s="19">
        <v>26</v>
      </c>
      <c r="D20" s="19" t="s">
        <v>74</v>
      </c>
      <c r="E20" s="19">
        <v>-0.2</v>
      </c>
      <c r="F20" s="19">
        <v>8</v>
      </c>
      <c r="G20" s="19">
        <v>4</v>
      </c>
      <c r="H20" s="19">
        <v>4</v>
      </c>
      <c r="I20" s="19">
        <v>1</v>
      </c>
      <c r="J20" s="19">
        <v>0</v>
      </c>
      <c r="K20" s="19">
        <v>0</v>
      </c>
      <c r="L20" s="19">
        <v>0</v>
      </c>
      <c r="M20" s="19">
        <v>0</v>
      </c>
      <c r="N20" s="19">
        <v>0</v>
      </c>
      <c r="O20" s="19">
        <v>4</v>
      </c>
      <c r="P20" s="19">
        <v>0</v>
      </c>
      <c r="Q20" s="19">
        <v>0</v>
      </c>
      <c r="R20" s="19">
        <v>2</v>
      </c>
      <c r="S20" s="19">
        <v>0</v>
      </c>
      <c r="T20" s="19">
        <v>0</v>
      </c>
      <c r="U20" s="19">
        <v>0</v>
      </c>
      <c r="V20" s="19">
        <v>0</v>
      </c>
      <c r="W20" s="19">
        <v>-100</v>
      </c>
      <c r="X20" s="19">
        <v>0.248</v>
      </c>
      <c r="Y20" s="19">
        <v>-118</v>
      </c>
      <c r="Z20" s="19">
        <v>0</v>
      </c>
      <c r="AA20" s="19">
        <v>0</v>
      </c>
      <c r="AB20" s="19">
        <v>0</v>
      </c>
      <c r="AC20" s="19">
        <v>0</v>
      </c>
      <c r="AD20" s="19">
        <v>0</v>
      </c>
      <c r="AE20" s="19">
        <v>0</v>
      </c>
      <c r="AF20" s="19" t="s">
        <v>129</v>
      </c>
      <c r="AG20" s="19" t="s">
        <v>37</v>
      </c>
      <c r="AH20" s="19" t="s">
        <v>130</v>
      </c>
      <c r="AI20" s="19" t="s">
        <v>837</v>
      </c>
      <c r="AJ20" s="19" t="s">
        <v>820</v>
      </c>
      <c r="AK20" s="108" t="str">
        <f>IFERROR(VLOOKUP(B20,'CWS Salary 2024'!A19:I57,7,FALSE),"No salary data")</f>
        <v>No salary data</v>
      </c>
    </row>
    <row r="21" spans="1:37" x14ac:dyDescent="0.25">
      <c r="A21">
        <v>8</v>
      </c>
      <c r="B21" t="s">
        <v>61</v>
      </c>
      <c r="C21">
        <v>26</v>
      </c>
      <c r="D21" t="s">
        <v>62</v>
      </c>
      <c r="E21">
        <v>-0.3</v>
      </c>
      <c r="F21">
        <v>72</v>
      </c>
      <c r="G21">
        <v>241</v>
      </c>
      <c r="H21">
        <v>223</v>
      </c>
      <c r="I21">
        <v>14</v>
      </c>
      <c r="J21">
        <v>46</v>
      </c>
      <c r="K21">
        <v>8</v>
      </c>
      <c r="L21">
        <v>0</v>
      </c>
      <c r="M21">
        <v>1</v>
      </c>
      <c r="N21">
        <v>17</v>
      </c>
      <c r="O21">
        <v>0</v>
      </c>
      <c r="P21">
        <v>0</v>
      </c>
      <c r="Q21">
        <v>11</v>
      </c>
      <c r="R21">
        <v>58</v>
      </c>
      <c r="S21">
        <v>0.20599999999999999</v>
      </c>
      <c r="T21">
        <v>0.252</v>
      </c>
      <c r="U21">
        <v>0.25600000000000001</v>
      </c>
      <c r="V21">
        <v>0.50800000000000001</v>
      </c>
      <c r="W21">
        <v>47</v>
      </c>
      <c r="X21">
        <v>0.22500000000000001</v>
      </c>
      <c r="Y21">
        <v>38</v>
      </c>
      <c r="Z21">
        <v>57</v>
      </c>
      <c r="AA21">
        <v>5</v>
      </c>
      <c r="AB21">
        <v>3</v>
      </c>
      <c r="AC21">
        <v>2</v>
      </c>
      <c r="AD21">
        <v>1</v>
      </c>
      <c r="AE21">
        <v>1</v>
      </c>
      <c r="AF21" t="s">
        <v>63</v>
      </c>
      <c r="AG21" t="s">
        <v>37</v>
      </c>
      <c r="AH21" t="s">
        <v>64</v>
      </c>
      <c r="AI21" t="s">
        <v>837</v>
      </c>
      <c r="AJ21" t="s">
        <v>820</v>
      </c>
      <c r="AK21" s="1" t="str">
        <f>IFERROR(VLOOKUP(B21,'CWS Salary 2024'!A20:I58,7,FALSE),"No salary data")</f>
        <v>No salary data</v>
      </c>
    </row>
    <row r="22" spans="1:37" x14ac:dyDescent="0.25">
      <c r="A22" s="19">
        <v>15</v>
      </c>
      <c r="B22" s="19" t="s">
        <v>86</v>
      </c>
      <c r="C22" s="19">
        <v>30</v>
      </c>
      <c r="D22" s="19" t="s">
        <v>11</v>
      </c>
      <c r="E22" s="19">
        <v>-0.3</v>
      </c>
      <c r="F22" s="19">
        <v>47</v>
      </c>
      <c r="G22" s="19">
        <v>141</v>
      </c>
      <c r="H22" s="19">
        <v>132</v>
      </c>
      <c r="I22" s="19">
        <v>13</v>
      </c>
      <c r="J22" s="19">
        <v>26</v>
      </c>
      <c r="K22" s="19">
        <v>7</v>
      </c>
      <c r="L22" s="19">
        <v>0</v>
      </c>
      <c r="M22" s="19">
        <v>3</v>
      </c>
      <c r="N22" s="19">
        <v>8</v>
      </c>
      <c r="O22" s="19">
        <v>6</v>
      </c>
      <c r="P22" s="19">
        <v>0</v>
      </c>
      <c r="Q22" s="19">
        <v>6</v>
      </c>
      <c r="R22" s="19">
        <v>35</v>
      </c>
      <c r="S22" s="19">
        <v>0.19700000000000001</v>
      </c>
      <c r="T22" s="19">
        <v>0.24299999999999999</v>
      </c>
      <c r="U22" s="19">
        <v>0.318</v>
      </c>
      <c r="V22" s="19">
        <v>0.56100000000000005</v>
      </c>
      <c r="W22" s="19">
        <v>60</v>
      </c>
      <c r="X22" s="19">
        <v>0.255</v>
      </c>
      <c r="Y22" s="19">
        <v>53</v>
      </c>
      <c r="Z22" s="19">
        <v>42</v>
      </c>
      <c r="AA22" s="19">
        <v>3</v>
      </c>
      <c r="AB22" s="19">
        <v>2</v>
      </c>
      <c r="AC22" s="19">
        <v>1</v>
      </c>
      <c r="AD22" s="19">
        <v>0</v>
      </c>
      <c r="AE22" s="19">
        <v>0</v>
      </c>
      <c r="AF22" s="19" t="s">
        <v>87</v>
      </c>
      <c r="AG22" s="19" t="s">
        <v>37</v>
      </c>
      <c r="AH22" s="19" t="s">
        <v>88</v>
      </c>
      <c r="AI22" s="19" t="s">
        <v>837</v>
      </c>
      <c r="AJ22" s="19" t="s">
        <v>820</v>
      </c>
      <c r="AK22" s="108" t="str">
        <f>IFERROR(VLOOKUP(B22,'CWS Salary 2024'!A21:I59,7,FALSE),"No salary data")</f>
        <v>No salary data</v>
      </c>
    </row>
    <row r="23" spans="1:37" x14ac:dyDescent="0.25">
      <c r="A23">
        <v>5</v>
      </c>
      <c r="B23" t="s">
        <v>50</v>
      </c>
      <c r="C23">
        <v>24</v>
      </c>
      <c r="D23" t="s">
        <v>11</v>
      </c>
      <c r="E23">
        <v>-0.4</v>
      </c>
      <c r="F23">
        <v>100</v>
      </c>
      <c r="G23">
        <v>369</v>
      </c>
      <c r="H23">
        <v>351</v>
      </c>
      <c r="I23">
        <v>28</v>
      </c>
      <c r="J23">
        <v>89</v>
      </c>
      <c r="K23">
        <v>13</v>
      </c>
      <c r="L23">
        <v>0</v>
      </c>
      <c r="M23">
        <v>8</v>
      </c>
      <c r="N23">
        <v>35</v>
      </c>
      <c r="O23">
        <v>3</v>
      </c>
      <c r="P23">
        <v>1</v>
      </c>
      <c r="Q23">
        <v>12</v>
      </c>
      <c r="R23">
        <v>77</v>
      </c>
      <c r="S23">
        <v>0.254</v>
      </c>
      <c r="T23">
        <v>0.28299999999999997</v>
      </c>
      <c r="U23">
        <v>0.35899999999999999</v>
      </c>
      <c r="V23">
        <v>0.64200000000000002</v>
      </c>
      <c r="W23">
        <v>84</v>
      </c>
      <c r="X23">
        <v>0.28199999999999997</v>
      </c>
      <c r="Y23">
        <v>79</v>
      </c>
      <c r="Z23">
        <v>126</v>
      </c>
      <c r="AA23">
        <v>5</v>
      </c>
      <c r="AB23">
        <v>3</v>
      </c>
      <c r="AC23">
        <v>2</v>
      </c>
      <c r="AD23">
        <v>1</v>
      </c>
      <c r="AE23">
        <v>1</v>
      </c>
      <c r="AF23" t="s">
        <v>51</v>
      </c>
      <c r="AG23" t="s">
        <v>37</v>
      </c>
      <c r="AH23" t="s">
        <v>52</v>
      </c>
      <c r="AI23" t="s">
        <v>837</v>
      </c>
      <c r="AJ23" t="s">
        <v>820</v>
      </c>
      <c r="AK23" s="1" t="str">
        <f>IFERROR(VLOOKUP(B23,'CWS Salary 2024'!A22:I60,7,FALSE),"No salary data")</f>
        <v>No salary data</v>
      </c>
    </row>
    <row r="24" spans="1:37" x14ac:dyDescent="0.25">
      <c r="A24" s="19">
        <v>9</v>
      </c>
      <c r="B24" s="19" t="s">
        <v>65</v>
      </c>
      <c r="C24" s="19">
        <v>27</v>
      </c>
      <c r="D24" s="19" t="s">
        <v>66</v>
      </c>
      <c r="E24" s="19">
        <v>-0.5</v>
      </c>
      <c r="F24" s="19">
        <v>65</v>
      </c>
      <c r="G24" s="19">
        <v>249</v>
      </c>
      <c r="H24" s="19">
        <v>229</v>
      </c>
      <c r="I24" s="19">
        <v>18</v>
      </c>
      <c r="J24" s="19">
        <v>55</v>
      </c>
      <c r="K24" s="19">
        <v>9</v>
      </c>
      <c r="L24" s="19">
        <v>0</v>
      </c>
      <c r="M24" s="19">
        <v>5</v>
      </c>
      <c r="N24" s="19">
        <v>16</v>
      </c>
      <c r="O24" s="19">
        <v>3</v>
      </c>
      <c r="P24" s="19">
        <v>0</v>
      </c>
      <c r="Q24" s="19">
        <v>18</v>
      </c>
      <c r="R24" s="19">
        <v>47</v>
      </c>
      <c r="S24" s="19">
        <v>0.24</v>
      </c>
      <c r="T24" s="19">
        <v>0.29699999999999999</v>
      </c>
      <c r="U24" s="19">
        <v>0.34499999999999997</v>
      </c>
      <c r="V24" s="19">
        <v>0.64200000000000002</v>
      </c>
      <c r="W24" s="19">
        <v>84</v>
      </c>
      <c r="X24" s="19">
        <v>0.28399999999999997</v>
      </c>
      <c r="Y24" s="19">
        <v>80</v>
      </c>
      <c r="Z24" s="19">
        <v>79</v>
      </c>
      <c r="AA24" s="19">
        <v>11</v>
      </c>
      <c r="AB24" s="19">
        <v>1</v>
      </c>
      <c r="AC24" s="19">
        <v>0</v>
      </c>
      <c r="AD24" s="19">
        <v>1</v>
      </c>
      <c r="AE24" s="19">
        <v>1</v>
      </c>
      <c r="AF24" s="19" t="s">
        <v>67</v>
      </c>
      <c r="AG24" s="19" t="s">
        <v>37</v>
      </c>
      <c r="AH24" s="19" t="s">
        <v>68</v>
      </c>
      <c r="AI24" s="19" t="s">
        <v>837</v>
      </c>
      <c r="AJ24" s="19" t="s">
        <v>820</v>
      </c>
      <c r="AK24" s="108" t="str">
        <f>IFERROR(VLOOKUP(B24,'CWS Salary 2024'!A23:I61,7,FALSE),"No salary data")</f>
        <v>No salary data</v>
      </c>
    </row>
    <row r="25" spans="1:37" x14ac:dyDescent="0.25">
      <c r="A25">
        <v>19</v>
      </c>
      <c r="B25" t="s">
        <v>98</v>
      </c>
      <c r="C25">
        <v>29</v>
      </c>
      <c r="D25" t="s">
        <v>35</v>
      </c>
      <c r="E25">
        <v>-0.5</v>
      </c>
      <c r="F25">
        <v>26</v>
      </c>
      <c r="G25">
        <v>76</v>
      </c>
      <c r="H25">
        <v>70</v>
      </c>
      <c r="I25">
        <v>2</v>
      </c>
      <c r="J25">
        <v>9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5</v>
      </c>
      <c r="R25">
        <v>20</v>
      </c>
      <c r="S25">
        <v>0.129</v>
      </c>
      <c r="T25">
        <v>0.19700000000000001</v>
      </c>
      <c r="U25">
        <v>0.129</v>
      </c>
      <c r="V25">
        <v>0.32600000000000001</v>
      </c>
      <c r="W25">
        <v>-3</v>
      </c>
      <c r="X25">
        <v>0.17100000000000001</v>
      </c>
      <c r="Y25">
        <v>0</v>
      </c>
      <c r="Z25">
        <v>9</v>
      </c>
      <c r="AA25">
        <v>1</v>
      </c>
      <c r="AB25">
        <v>1</v>
      </c>
      <c r="AC25">
        <v>0</v>
      </c>
      <c r="AD25">
        <v>0</v>
      </c>
      <c r="AE25">
        <v>0</v>
      </c>
      <c r="AF25" t="s">
        <v>99</v>
      </c>
      <c r="AG25" t="s">
        <v>37</v>
      </c>
      <c r="AH25" t="s">
        <v>100</v>
      </c>
      <c r="AI25" t="s">
        <v>837</v>
      </c>
      <c r="AJ25" t="s">
        <v>820</v>
      </c>
      <c r="AK25" s="1" t="str">
        <f>IFERROR(VLOOKUP(B25,'CWS Salary 2024'!A24:I62,7,FALSE),"No salary data")</f>
        <v>No salary data</v>
      </c>
    </row>
    <row r="26" spans="1:37" x14ac:dyDescent="0.25">
      <c r="A26" s="19">
        <v>22</v>
      </c>
      <c r="B26" s="19" t="s">
        <v>107</v>
      </c>
      <c r="C26" s="19">
        <v>26</v>
      </c>
      <c r="D26" s="19" t="s">
        <v>108</v>
      </c>
      <c r="E26" s="19">
        <v>-0.6</v>
      </c>
      <c r="F26" s="19">
        <v>29</v>
      </c>
      <c r="G26" s="19">
        <v>67</v>
      </c>
      <c r="H26" s="19">
        <v>64</v>
      </c>
      <c r="I26" s="19">
        <v>4</v>
      </c>
      <c r="J26" s="19">
        <v>8</v>
      </c>
      <c r="K26" s="19">
        <v>2</v>
      </c>
      <c r="L26" s="19">
        <v>0</v>
      </c>
      <c r="M26" s="19">
        <v>1</v>
      </c>
      <c r="N26" s="19">
        <v>4</v>
      </c>
      <c r="O26" s="19">
        <v>5</v>
      </c>
      <c r="P26" s="19">
        <v>1</v>
      </c>
      <c r="Q26" s="19">
        <v>1</v>
      </c>
      <c r="R26" s="19">
        <v>10</v>
      </c>
      <c r="S26" s="19">
        <v>0.125</v>
      </c>
      <c r="T26" s="19">
        <v>0.13400000000000001</v>
      </c>
      <c r="U26" s="19">
        <v>0.20300000000000001</v>
      </c>
      <c r="V26" s="19">
        <v>0.33700000000000002</v>
      </c>
      <c r="W26" s="19">
        <v>-5</v>
      </c>
      <c r="X26" s="19">
        <v>0.154</v>
      </c>
      <c r="Y26" s="19">
        <v>-19</v>
      </c>
      <c r="Z26" s="19">
        <v>13</v>
      </c>
      <c r="AA26" s="19">
        <v>0</v>
      </c>
      <c r="AB26" s="19">
        <v>0</v>
      </c>
      <c r="AC26" s="19">
        <v>0</v>
      </c>
      <c r="AD26" s="19">
        <v>2</v>
      </c>
      <c r="AE26" s="19">
        <v>0</v>
      </c>
      <c r="AF26" s="19" t="s">
        <v>109</v>
      </c>
      <c r="AG26" s="19" t="s">
        <v>37</v>
      </c>
      <c r="AH26" s="19" t="s">
        <v>110</v>
      </c>
      <c r="AI26" s="19" t="s">
        <v>837</v>
      </c>
      <c r="AJ26" s="19" t="s">
        <v>820</v>
      </c>
      <c r="AK26" s="108" t="str">
        <f>IFERROR(VLOOKUP(B26,'CWS Salary 2024'!A25:I63,7,FALSE),"No salary data")</f>
        <v>No salary data</v>
      </c>
    </row>
    <row r="27" spans="1:37" x14ac:dyDescent="0.25">
      <c r="A27">
        <v>27</v>
      </c>
      <c r="B27" t="s">
        <v>122</v>
      </c>
      <c r="C27">
        <v>29</v>
      </c>
      <c r="D27" t="s">
        <v>70</v>
      </c>
      <c r="E27">
        <v>-0.7</v>
      </c>
      <c r="F27">
        <v>10</v>
      </c>
      <c r="G27">
        <v>32</v>
      </c>
      <c r="H27">
        <v>30</v>
      </c>
      <c r="I27">
        <v>0</v>
      </c>
      <c r="J27">
        <v>3</v>
      </c>
      <c r="K27">
        <v>1</v>
      </c>
      <c r="L27">
        <v>0</v>
      </c>
      <c r="M27">
        <v>0</v>
      </c>
      <c r="N27">
        <v>0</v>
      </c>
      <c r="O27">
        <v>0</v>
      </c>
      <c r="P27">
        <v>0</v>
      </c>
      <c r="Q27">
        <v>1</v>
      </c>
      <c r="R27">
        <v>8</v>
      </c>
      <c r="S27">
        <v>0.1</v>
      </c>
      <c r="T27">
        <v>0.129</v>
      </c>
      <c r="U27">
        <v>0.13300000000000001</v>
      </c>
      <c r="V27">
        <v>0.26200000000000001</v>
      </c>
      <c r="W27">
        <v>-24</v>
      </c>
      <c r="X27">
        <v>0.12</v>
      </c>
      <c r="Y27">
        <v>-41</v>
      </c>
      <c r="Z27">
        <v>4</v>
      </c>
      <c r="AA27">
        <v>0</v>
      </c>
      <c r="AB27">
        <v>0</v>
      </c>
      <c r="AC27">
        <v>1</v>
      </c>
      <c r="AD27">
        <v>0</v>
      </c>
      <c r="AE27">
        <v>0</v>
      </c>
      <c r="AF27" t="s">
        <v>123</v>
      </c>
      <c r="AG27" t="s">
        <v>37</v>
      </c>
      <c r="AH27" t="s">
        <v>124</v>
      </c>
      <c r="AI27" t="s">
        <v>837</v>
      </c>
      <c r="AJ27" t="s">
        <v>820</v>
      </c>
      <c r="AK27" s="1" t="str">
        <f>IFERROR(VLOOKUP(B27,'CWS Salary 2024'!A26:I64,7,FALSE),"No salary data")</f>
        <v>No salary data</v>
      </c>
    </row>
    <row r="28" spans="1:37" x14ac:dyDescent="0.25">
      <c r="A28" s="19">
        <v>6</v>
      </c>
      <c r="B28" s="19" t="s">
        <v>53</v>
      </c>
      <c r="C28" s="19">
        <v>29</v>
      </c>
      <c r="D28" s="19" t="s">
        <v>54</v>
      </c>
      <c r="E28" s="19">
        <v>-0.8</v>
      </c>
      <c r="F28" s="19">
        <v>135</v>
      </c>
      <c r="G28" s="19">
        <v>522</v>
      </c>
      <c r="H28" s="19">
        <v>477</v>
      </c>
      <c r="I28" s="19">
        <v>50</v>
      </c>
      <c r="J28" s="19">
        <v>109</v>
      </c>
      <c r="K28" s="19">
        <v>20</v>
      </c>
      <c r="L28" s="19">
        <v>0</v>
      </c>
      <c r="M28" s="19">
        <v>20</v>
      </c>
      <c r="N28" s="19">
        <v>64</v>
      </c>
      <c r="O28" s="19">
        <v>3</v>
      </c>
      <c r="P28" s="19">
        <v>2</v>
      </c>
      <c r="Q28" s="19">
        <v>41</v>
      </c>
      <c r="R28" s="19">
        <v>96</v>
      </c>
      <c r="S28" s="19">
        <v>0.22900000000000001</v>
      </c>
      <c r="T28" s="19">
        <v>0.28899999999999998</v>
      </c>
      <c r="U28" s="19">
        <v>0.39600000000000002</v>
      </c>
      <c r="V28" s="19">
        <v>0.68500000000000005</v>
      </c>
      <c r="W28" s="19">
        <v>95</v>
      </c>
      <c r="X28" s="19">
        <v>0.29899999999999999</v>
      </c>
      <c r="Y28" s="19">
        <v>92</v>
      </c>
      <c r="Z28" s="19">
        <v>189</v>
      </c>
      <c r="AA28" s="19">
        <v>12</v>
      </c>
      <c r="AB28" s="19">
        <v>1</v>
      </c>
      <c r="AC28" s="19">
        <v>0</v>
      </c>
      <c r="AD28" s="19">
        <v>3</v>
      </c>
      <c r="AE28" s="19">
        <v>1</v>
      </c>
      <c r="AF28" s="19" t="s">
        <v>55</v>
      </c>
      <c r="AG28" s="19" t="s">
        <v>37</v>
      </c>
      <c r="AH28" s="19" t="s">
        <v>56</v>
      </c>
      <c r="AI28" s="19" t="s">
        <v>837</v>
      </c>
      <c r="AJ28" s="19" t="s">
        <v>820</v>
      </c>
      <c r="AK28" s="108" t="str">
        <f>IFERROR(VLOOKUP(B28,'CWS Salary 2024'!A27:I65,7,FALSE),"No salary data")</f>
        <v>No salary data</v>
      </c>
    </row>
    <row r="29" spans="1:37" x14ac:dyDescent="0.25">
      <c r="A29">
        <v>10</v>
      </c>
      <c r="B29" t="s">
        <v>69</v>
      </c>
      <c r="C29">
        <v>28</v>
      </c>
      <c r="D29" t="s">
        <v>70</v>
      </c>
      <c r="E29">
        <v>-1</v>
      </c>
      <c r="F29">
        <v>139</v>
      </c>
      <c r="G29">
        <v>501</v>
      </c>
      <c r="H29">
        <v>451</v>
      </c>
      <c r="I29">
        <v>35</v>
      </c>
      <c r="J29">
        <v>105</v>
      </c>
      <c r="K29">
        <v>24</v>
      </c>
      <c r="L29">
        <v>1</v>
      </c>
      <c r="M29">
        <v>10</v>
      </c>
      <c r="N29">
        <v>45</v>
      </c>
      <c r="O29">
        <v>2</v>
      </c>
      <c r="P29">
        <v>2</v>
      </c>
      <c r="Q29">
        <v>43</v>
      </c>
      <c r="R29">
        <v>106</v>
      </c>
      <c r="S29">
        <v>0.23300000000000001</v>
      </c>
      <c r="T29">
        <v>0.30299999999999999</v>
      </c>
      <c r="U29">
        <v>0.35699999999999998</v>
      </c>
      <c r="V29">
        <v>0.66</v>
      </c>
      <c r="W29">
        <v>90</v>
      </c>
      <c r="X29">
        <v>0.29199999999999998</v>
      </c>
      <c r="Y29">
        <v>88</v>
      </c>
      <c r="Z29">
        <v>161</v>
      </c>
      <c r="AA29">
        <v>6</v>
      </c>
      <c r="AB29">
        <v>4</v>
      </c>
      <c r="AC29">
        <v>0</v>
      </c>
      <c r="AD29">
        <v>3</v>
      </c>
      <c r="AE29">
        <v>2</v>
      </c>
      <c r="AF29" t="s">
        <v>71</v>
      </c>
      <c r="AG29" t="s">
        <v>37</v>
      </c>
      <c r="AH29" t="s">
        <v>72</v>
      </c>
      <c r="AI29" t="s">
        <v>837</v>
      </c>
      <c r="AJ29" t="s">
        <v>820</v>
      </c>
      <c r="AK29" s="1" t="str">
        <f>IFERROR(VLOOKUP(B29,'CWS Salary 2024'!A28:I66,7,FALSE),"No salary data")</f>
        <v>No salary data</v>
      </c>
    </row>
    <row r="30" spans="1:37" x14ac:dyDescent="0.25">
      <c r="A30" s="19">
        <v>13</v>
      </c>
      <c r="B30" s="19" t="s">
        <v>80</v>
      </c>
      <c r="C30" s="19">
        <v>24</v>
      </c>
      <c r="D30" s="19" t="s">
        <v>11</v>
      </c>
      <c r="E30" s="19">
        <v>-1</v>
      </c>
      <c r="F30" s="19">
        <v>42</v>
      </c>
      <c r="G30" s="19">
        <v>157</v>
      </c>
      <c r="H30" s="19">
        <v>135</v>
      </c>
      <c r="I30" s="19">
        <v>11</v>
      </c>
      <c r="J30" s="19">
        <v>14</v>
      </c>
      <c r="K30" s="19">
        <v>3</v>
      </c>
      <c r="L30" s="19">
        <v>0</v>
      </c>
      <c r="M30" s="19">
        <v>2</v>
      </c>
      <c r="N30" s="19">
        <v>7</v>
      </c>
      <c r="O30" s="19">
        <v>2</v>
      </c>
      <c r="P30" s="19">
        <v>1</v>
      </c>
      <c r="Q30" s="19">
        <v>17</v>
      </c>
      <c r="R30" s="19">
        <v>41</v>
      </c>
      <c r="S30" s="19">
        <v>0.104</v>
      </c>
      <c r="T30" s="19">
        <v>0.217</v>
      </c>
      <c r="U30" s="19">
        <v>0.17</v>
      </c>
      <c r="V30" s="19">
        <v>0.38700000000000001</v>
      </c>
      <c r="W30" s="19">
        <v>14</v>
      </c>
      <c r="X30" s="19">
        <v>0.20499999999999999</v>
      </c>
      <c r="Y30" s="19">
        <v>25</v>
      </c>
      <c r="Z30" s="19">
        <v>23</v>
      </c>
      <c r="AA30" s="19">
        <v>3</v>
      </c>
      <c r="AB30" s="19">
        <v>3</v>
      </c>
      <c r="AC30" s="19">
        <v>0</v>
      </c>
      <c r="AD30" s="19">
        <v>2</v>
      </c>
      <c r="AE30" s="19">
        <v>0</v>
      </c>
      <c r="AF30" s="19" t="s">
        <v>81</v>
      </c>
      <c r="AG30" s="19" t="s">
        <v>37</v>
      </c>
      <c r="AH30" s="19" t="s">
        <v>82</v>
      </c>
      <c r="AI30" s="19" t="s">
        <v>837</v>
      </c>
      <c r="AJ30" s="19" t="s">
        <v>820</v>
      </c>
      <c r="AK30" s="108" t="str">
        <f>IFERROR(VLOOKUP(B30,'CWS Salary 2024'!A29:I67,7,FALSE),"No salary data")</f>
        <v>No salary data</v>
      </c>
    </row>
    <row r="31" spans="1:37" x14ac:dyDescent="0.25">
      <c r="A31">
        <v>12</v>
      </c>
      <c r="B31" t="s">
        <v>77</v>
      </c>
      <c r="C31">
        <v>28</v>
      </c>
      <c r="D31" t="s">
        <v>74</v>
      </c>
      <c r="E31">
        <v>-1.1000000000000001</v>
      </c>
      <c r="F31">
        <v>66</v>
      </c>
      <c r="G31">
        <v>189</v>
      </c>
      <c r="H31">
        <v>173</v>
      </c>
      <c r="I31">
        <v>17</v>
      </c>
      <c r="J31">
        <v>37</v>
      </c>
      <c r="K31">
        <v>7</v>
      </c>
      <c r="L31">
        <v>0</v>
      </c>
      <c r="M31">
        <v>3</v>
      </c>
      <c r="N31">
        <v>14</v>
      </c>
      <c r="O31">
        <v>5</v>
      </c>
      <c r="P31">
        <v>2</v>
      </c>
      <c r="Q31">
        <v>15</v>
      </c>
      <c r="R31">
        <v>50</v>
      </c>
      <c r="S31">
        <v>0.214</v>
      </c>
      <c r="T31">
        <v>0.27500000000000002</v>
      </c>
      <c r="U31">
        <v>0.30599999999999999</v>
      </c>
      <c r="V31">
        <v>0.58099999999999996</v>
      </c>
      <c r="W31">
        <v>67</v>
      </c>
      <c r="X31">
        <v>0.26100000000000001</v>
      </c>
      <c r="Y31">
        <v>64</v>
      </c>
      <c r="Z31">
        <v>53</v>
      </c>
      <c r="AA31">
        <v>6</v>
      </c>
      <c r="AB31">
        <v>0</v>
      </c>
      <c r="AC31">
        <v>0</v>
      </c>
      <c r="AD31">
        <v>1</v>
      </c>
      <c r="AE31">
        <v>0</v>
      </c>
      <c r="AF31" t="s">
        <v>78</v>
      </c>
      <c r="AG31" t="s">
        <v>37</v>
      </c>
      <c r="AH31" t="s">
        <v>79</v>
      </c>
      <c r="AI31" t="s">
        <v>837</v>
      </c>
      <c r="AJ31" t="s">
        <v>820</v>
      </c>
      <c r="AK31" s="1" t="str">
        <f>IFERROR(VLOOKUP(B31,'CWS Salary 2024'!A30:I68,7,FALSE),"No salary data")</f>
        <v>No salary data</v>
      </c>
    </row>
    <row r="32" spans="1:37" x14ac:dyDescent="0.25">
      <c r="A32" s="19">
        <v>14</v>
      </c>
      <c r="B32" s="19" t="s">
        <v>83</v>
      </c>
      <c r="C32" s="19">
        <v>37</v>
      </c>
      <c r="D32" s="19" t="s">
        <v>35</v>
      </c>
      <c r="E32" s="19">
        <v>-1.3</v>
      </c>
      <c r="F32" s="19">
        <v>48</v>
      </c>
      <c r="G32" s="19">
        <v>147</v>
      </c>
      <c r="H32" s="19">
        <v>135</v>
      </c>
      <c r="I32" s="19">
        <v>9</v>
      </c>
      <c r="J32" s="19">
        <v>16</v>
      </c>
      <c r="K32" s="19">
        <v>3</v>
      </c>
      <c r="L32" s="19">
        <v>0</v>
      </c>
      <c r="M32" s="19">
        <v>4</v>
      </c>
      <c r="N32" s="19">
        <v>11</v>
      </c>
      <c r="O32" s="19">
        <v>0</v>
      </c>
      <c r="P32" s="19">
        <v>0</v>
      </c>
      <c r="Q32" s="19">
        <v>8</v>
      </c>
      <c r="R32" s="19">
        <v>51</v>
      </c>
      <c r="S32" s="19">
        <v>0.11899999999999999</v>
      </c>
      <c r="T32" s="19">
        <v>0.17399999999999999</v>
      </c>
      <c r="U32" s="19">
        <v>0.23</v>
      </c>
      <c r="V32" s="19">
        <v>0.40300000000000002</v>
      </c>
      <c r="W32" s="19">
        <v>15</v>
      </c>
      <c r="X32" s="19">
        <v>0.18</v>
      </c>
      <c r="Y32" s="19">
        <v>5</v>
      </c>
      <c r="Z32" s="19">
        <v>31</v>
      </c>
      <c r="AA32" s="19">
        <v>5</v>
      </c>
      <c r="AB32" s="19">
        <v>1</v>
      </c>
      <c r="AC32" s="19">
        <v>3</v>
      </c>
      <c r="AD32" s="19">
        <v>0</v>
      </c>
      <c r="AE32" s="19">
        <v>0</v>
      </c>
      <c r="AF32" s="19" t="s">
        <v>84</v>
      </c>
      <c r="AG32" s="19" t="s">
        <v>37</v>
      </c>
      <c r="AH32" s="19" t="s">
        <v>85</v>
      </c>
      <c r="AI32" s="19" t="s">
        <v>837</v>
      </c>
      <c r="AJ32" s="19" t="s">
        <v>820</v>
      </c>
      <c r="AK32" s="108" t="str">
        <f>IFERROR(VLOOKUP(B32,'CWS Salary 2024'!A31:I69,7,FALSE),"No salary data")</f>
        <v>No salary data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6F2A95-81F2-4135-9A91-19C98DC989B5}">
  <sheetPr codeName="Sheet2"/>
  <dimension ref="A1:AN36"/>
  <sheetViews>
    <sheetView topLeftCell="AC1" workbookViewId="0">
      <selection activeCell="AP13" sqref="AP13"/>
    </sheetView>
  </sheetViews>
  <sheetFormatPr defaultRowHeight="15" x14ac:dyDescent="0.25"/>
  <cols>
    <col min="1" max="1" width="5.28515625" bestFit="1" customWidth="1"/>
    <col min="2" max="2" width="17" bestFit="1" customWidth="1"/>
    <col min="3" max="4" width="6.140625" bestFit="1" customWidth="1"/>
    <col min="5" max="5" width="7" bestFit="1" customWidth="1"/>
    <col min="6" max="6" width="4.7109375" bestFit="1" customWidth="1"/>
    <col min="7" max="7" width="4" bestFit="1" customWidth="1"/>
    <col min="8" max="8" width="7.85546875" bestFit="1" customWidth="1"/>
    <col min="9" max="9" width="6.42578125" bestFit="1" customWidth="1"/>
    <col min="10" max="10" width="4.42578125" bestFit="1" customWidth="1"/>
    <col min="11" max="12" width="5.42578125" bestFit="1" customWidth="1"/>
    <col min="13" max="13" width="5.5703125" bestFit="1" customWidth="1"/>
    <col min="14" max="14" width="6.7109375" bestFit="1" customWidth="1"/>
    <col min="15" max="15" width="5.28515625" bestFit="1" customWidth="1"/>
    <col min="16" max="16" width="5.85546875" bestFit="1" customWidth="1"/>
    <col min="17" max="17" width="4.42578125" bestFit="1" customWidth="1"/>
    <col min="18" max="18" width="4.28515625" bestFit="1" customWidth="1"/>
    <col min="19" max="19" width="5.28515625" bestFit="1" customWidth="1"/>
    <col min="20" max="20" width="5.5703125" bestFit="1" customWidth="1"/>
    <col min="21" max="21" width="5.28515625" bestFit="1" customWidth="1"/>
    <col min="22" max="22" width="5.85546875" bestFit="1" customWidth="1"/>
    <col min="23" max="23" width="5.42578125" bestFit="1" customWidth="1"/>
    <col min="24" max="24" width="6.5703125" bestFit="1" customWidth="1"/>
    <col min="25" max="25" width="5.28515625" bestFit="1" customWidth="1"/>
    <col min="26" max="26" width="5.85546875" bestFit="1" customWidth="1"/>
    <col min="27" max="27" width="5.140625" bestFit="1" customWidth="1"/>
    <col min="28" max="28" width="7.42578125" bestFit="1" customWidth="1"/>
    <col min="29" max="29" width="5.7109375" bestFit="1" customWidth="1"/>
    <col min="30" max="30" width="7.5703125" bestFit="1" customWidth="1"/>
    <col min="31" max="31" width="5.42578125" bestFit="1" customWidth="1"/>
    <col min="32" max="32" width="6.5703125" bestFit="1" customWidth="1"/>
    <col min="33" max="33" width="6.28515625" bestFit="1" customWidth="1"/>
    <col min="34" max="34" width="6.42578125" bestFit="1" customWidth="1"/>
    <col min="35" max="35" width="8.42578125" bestFit="1" customWidth="1"/>
    <col min="36" max="36" width="9.140625" bestFit="1" customWidth="1"/>
    <col min="37" max="37" width="17.5703125" bestFit="1" customWidth="1"/>
    <col min="38" max="38" width="24" bestFit="1" customWidth="1"/>
    <col min="40" max="40" width="14" style="1" bestFit="1" customWidth="1"/>
  </cols>
  <sheetData>
    <row r="1" spans="1:40" x14ac:dyDescent="0.25">
      <c r="A1" s="103" t="s">
        <v>0</v>
      </c>
      <c r="B1" s="103" t="s">
        <v>1</v>
      </c>
      <c r="C1" s="103" t="s">
        <v>2</v>
      </c>
      <c r="D1" s="103" t="s">
        <v>3</v>
      </c>
      <c r="E1" s="103" t="s">
        <v>4</v>
      </c>
      <c r="F1" s="103" t="s">
        <v>137</v>
      </c>
      <c r="G1" s="103" t="s">
        <v>138</v>
      </c>
      <c r="H1" s="103" t="s">
        <v>139</v>
      </c>
      <c r="I1" s="103" t="s">
        <v>140</v>
      </c>
      <c r="J1" s="103" t="s">
        <v>5</v>
      </c>
      <c r="K1" s="103" t="s">
        <v>141</v>
      </c>
      <c r="L1" s="103" t="s">
        <v>142</v>
      </c>
      <c r="M1" s="103" t="s">
        <v>143</v>
      </c>
      <c r="N1" s="103" t="s">
        <v>144</v>
      </c>
      <c r="O1" s="103" t="s">
        <v>145</v>
      </c>
      <c r="P1" s="103" t="s">
        <v>146</v>
      </c>
      <c r="Q1" s="103" t="s">
        <v>9</v>
      </c>
      <c r="R1" s="103" t="s">
        <v>8</v>
      </c>
      <c r="S1" s="103" t="s">
        <v>147</v>
      </c>
      <c r="T1" s="103" t="s">
        <v>12</v>
      </c>
      <c r="U1" s="103" t="s">
        <v>16</v>
      </c>
      <c r="V1" s="103" t="s">
        <v>30</v>
      </c>
      <c r="W1" s="103" t="s">
        <v>17</v>
      </c>
      <c r="X1" s="103" t="s">
        <v>27</v>
      </c>
      <c r="Y1" s="103" t="s">
        <v>148</v>
      </c>
      <c r="Z1" s="103" t="s">
        <v>149</v>
      </c>
      <c r="AA1" s="103" t="s">
        <v>150</v>
      </c>
      <c r="AB1" s="103" t="s">
        <v>151</v>
      </c>
      <c r="AC1" s="103" t="s">
        <v>152</v>
      </c>
      <c r="AD1" s="103" t="s">
        <v>153</v>
      </c>
      <c r="AE1" s="103" t="s">
        <v>154</v>
      </c>
      <c r="AF1" s="103" t="s">
        <v>155</v>
      </c>
      <c r="AG1" s="103" t="s">
        <v>156</v>
      </c>
      <c r="AH1" s="103" t="s">
        <v>157</v>
      </c>
      <c r="AI1" s="103" t="s">
        <v>158</v>
      </c>
      <c r="AJ1" s="103" t="s">
        <v>32</v>
      </c>
      <c r="AK1" s="103" t="s">
        <v>33</v>
      </c>
      <c r="AL1" s="103" t="s">
        <v>836</v>
      </c>
      <c r="AM1" s="103" t="s">
        <v>817</v>
      </c>
      <c r="AN1" s="116" t="s">
        <v>840</v>
      </c>
    </row>
    <row r="2" spans="1:40" x14ac:dyDescent="0.25">
      <c r="A2" s="104">
        <v>1</v>
      </c>
      <c r="B2" s="104" t="s">
        <v>159</v>
      </c>
      <c r="C2" s="104">
        <v>29</v>
      </c>
      <c r="D2" s="104" t="s">
        <v>160</v>
      </c>
      <c r="E2" s="104">
        <v>1.6</v>
      </c>
      <c r="F2" s="104">
        <v>3</v>
      </c>
      <c r="G2" s="104">
        <v>15</v>
      </c>
      <c r="H2" s="104">
        <v>0.16700000000000001</v>
      </c>
      <c r="I2" s="104">
        <v>4.95</v>
      </c>
      <c r="J2" s="104">
        <v>33</v>
      </c>
      <c r="K2" s="104">
        <v>30</v>
      </c>
      <c r="L2" s="104">
        <v>0</v>
      </c>
      <c r="M2" s="104">
        <v>0</v>
      </c>
      <c r="N2" s="104">
        <v>0</v>
      </c>
      <c r="O2" s="104">
        <v>0</v>
      </c>
      <c r="P2" s="104">
        <v>160</v>
      </c>
      <c r="Q2" s="104">
        <v>180</v>
      </c>
      <c r="R2" s="104">
        <v>95</v>
      </c>
      <c r="S2" s="104">
        <v>88</v>
      </c>
      <c r="T2" s="104">
        <v>24</v>
      </c>
      <c r="U2" s="104">
        <v>63</v>
      </c>
      <c r="V2" s="104">
        <v>1</v>
      </c>
      <c r="W2" s="104">
        <v>123</v>
      </c>
      <c r="X2" s="104">
        <v>2</v>
      </c>
      <c r="Y2" s="104">
        <v>2</v>
      </c>
      <c r="Z2" s="104">
        <v>4</v>
      </c>
      <c r="AA2" s="104">
        <v>707</v>
      </c>
      <c r="AB2" s="104">
        <v>83</v>
      </c>
      <c r="AC2" s="104">
        <v>4.8</v>
      </c>
      <c r="AD2" s="104">
        <v>1.5189999999999999</v>
      </c>
      <c r="AE2" s="104">
        <v>10.1</v>
      </c>
      <c r="AF2" s="104">
        <v>1.4</v>
      </c>
      <c r="AG2" s="104">
        <v>3.5</v>
      </c>
      <c r="AH2" s="104">
        <v>6.9</v>
      </c>
      <c r="AI2" s="104">
        <v>1.95</v>
      </c>
      <c r="AJ2" s="104" t="s">
        <v>37</v>
      </c>
      <c r="AK2" s="104" t="s">
        <v>161</v>
      </c>
      <c r="AL2" s="104" t="s">
        <v>838</v>
      </c>
      <c r="AM2" s="104" t="s">
        <v>820</v>
      </c>
      <c r="AN2" s="105">
        <f>IFERROR(VLOOKUP(B2,'CWS Salary 2024'!A1:I39,7,FALSE), "No salary data")</f>
        <v>1750000</v>
      </c>
    </row>
    <row r="3" spans="1:40" x14ac:dyDescent="0.25">
      <c r="A3">
        <v>2</v>
      </c>
      <c r="B3" t="s">
        <v>162</v>
      </c>
      <c r="C3">
        <v>25</v>
      </c>
      <c r="D3" t="s">
        <v>160</v>
      </c>
      <c r="E3">
        <v>4.0999999999999996</v>
      </c>
      <c r="F3">
        <v>6</v>
      </c>
      <c r="G3">
        <v>12</v>
      </c>
      <c r="H3">
        <v>0.33300000000000002</v>
      </c>
      <c r="I3">
        <v>3.58</v>
      </c>
      <c r="J3">
        <v>32</v>
      </c>
      <c r="K3">
        <v>32</v>
      </c>
      <c r="L3">
        <v>0</v>
      </c>
      <c r="M3">
        <v>0</v>
      </c>
      <c r="N3">
        <v>0</v>
      </c>
      <c r="O3">
        <v>0</v>
      </c>
      <c r="P3">
        <v>146</v>
      </c>
      <c r="Q3">
        <v>123</v>
      </c>
      <c r="R3">
        <v>61</v>
      </c>
      <c r="S3">
        <v>58</v>
      </c>
      <c r="T3">
        <v>18</v>
      </c>
      <c r="U3">
        <v>33</v>
      </c>
      <c r="V3">
        <v>0</v>
      </c>
      <c r="W3">
        <v>209</v>
      </c>
      <c r="X3">
        <v>5</v>
      </c>
      <c r="Y3">
        <v>1</v>
      </c>
      <c r="Z3">
        <v>3</v>
      </c>
      <c r="AA3">
        <v>595</v>
      </c>
      <c r="AB3">
        <v>115</v>
      </c>
      <c r="AC3">
        <v>2.69</v>
      </c>
      <c r="AD3">
        <v>1.0680000000000001</v>
      </c>
      <c r="AE3">
        <v>7.6</v>
      </c>
      <c r="AF3">
        <v>1.1000000000000001</v>
      </c>
      <c r="AG3">
        <v>2</v>
      </c>
      <c r="AH3">
        <v>12.9</v>
      </c>
      <c r="AI3">
        <v>6.33</v>
      </c>
      <c r="AJ3" t="s">
        <v>163</v>
      </c>
      <c r="AK3" t="s">
        <v>164</v>
      </c>
      <c r="AL3" t="s">
        <v>838</v>
      </c>
      <c r="AM3" t="s">
        <v>820</v>
      </c>
      <c r="AN3" s="1">
        <f>IFERROR(VLOOKUP(B3,'CWS Salary 2024'!A2:I40,7,FALSE), "No salary data")</f>
        <v>800000</v>
      </c>
    </row>
    <row r="4" spans="1:40" x14ac:dyDescent="0.25">
      <c r="A4" s="19">
        <v>3</v>
      </c>
      <c r="B4" s="19" t="s">
        <v>165</v>
      </c>
      <c r="C4" s="19">
        <v>23</v>
      </c>
      <c r="D4" s="19" t="s">
        <v>160</v>
      </c>
      <c r="E4" s="19">
        <v>1.9</v>
      </c>
      <c r="F4" s="19">
        <v>5</v>
      </c>
      <c r="G4" s="19">
        <v>10</v>
      </c>
      <c r="H4" s="19">
        <v>0.33300000000000002</v>
      </c>
      <c r="I4" s="19">
        <v>4.49</v>
      </c>
      <c r="J4" s="19">
        <v>23</v>
      </c>
      <c r="K4" s="19">
        <v>21</v>
      </c>
      <c r="L4" s="19">
        <v>1</v>
      </c>
      <c r="M4" s="19">
        <v>0</v>
      </c>
      <c r="N4" s="19">
        <v>0</v>
      </c>
      <c r="O4" s="19">
        <v>1</v>
      </c>
      <c r="P4" s="19">
        <v>124.1</v>
      </c>
      <c r="Q4" s="19">
        <v>125</v>
      </c>
      <c r="R4" s="19">
        <v>65</v>
      </c>
      <c r="S4" s="19">
        <v>62</v>
      </c>
      <c r="T4" s="19">
        <v>18</v>
      </c>
      <c r="U4" s="19">
        <v>40</v>
      </c>
      <c r="V4" s="19">
        <v>0</v>
      </c>
      <c r="W4" s="19">
        <v>91</v>
      </c>
      <c r="X4" s="19">
        <v>4</v>
      </c>
      <c r="Y4" s="19">
        <v>1</v>
      </c>
      <c r="Z4" s="19">
        <v>2</v>
      </c>
      <c r="AA4" s="19">
        <v>522</v>
      </c>
      <c r="AB4" s="19">
        <v>92</v>
      </c>
      <c r="AC4" s="19">
        <v>4.6500000000000004</v>
      </c>
      <c r="AD4" s="19">
        <v>1.327</v>
      </c>
      <c r="AE4" s="19">
        <v>9</v>
      </c>
      <c r="AF4" s="19">
        <v>1.3</v>
      </c>
      <c r="AG4" s="19">
        <v>2.9</v>
      </c>
      <c r="AH4" s="19">
        <v>6.6</v>
      </c>
      <c r="AI4" s="19">
        <v>2.2799999999999998</v>
      </c>
      <c r="AJ4" s="19" t="s">
        <v>37</v>
      </c>
      <c r="AK4" s="19" t="s">
        <v>166</v>
      </c>
      <c r="AL4" s="19" t="s">
        <v>838</v>
      </c>
      <c r="AM4" s="19" t="s">
        <v>820</v>
      </c>
      <c r="AN4" s="108" t="str">
        <f>IFERROR(VLOOKUP(B4,'CWS Salary 2024'!A3:I41,7,FALSE), "No salary data")</f>
        <v>No salary data</v>
      </c>
    </row>
    <row r="5" spans="1:40" x14ac:dyDescent="0.25">
      <c r="A5">
        <v>4</v>
      </c>
      <c r="B5" t="s">
        <v>167</v>
      </c>
      <c r="C5">
        <v>31</v>
      </c>
      <c r="D5" t="s">
        <v>160</v>
      </c>
      <c r="E5">
        <v>4.5999999999999996</v>
      </c>
      <c r="F5">
        <v>7</v>
      </c>
      <c r="G5">
        <v>4</v>
      </c>
      <c r="H5">
        <v>0.63600000000000001</v>
      </c>
      <c r="I5">
        <v>3.11</v>
      </c>
      <c r="J5">
        <v>21</v>
      </c>
      <c r="K5">
        <v>21</v>
      </c>
      <c r="L5">
        <v>0</v>
      </c>
      <c r="M5">
        <v>0</v>
      </c>
      <c r="N5">
        <v>0</v>
      </c>
      <c r="O5">
        <v>0</v>
      </c>
      <c r="P5">
        <v>121.2</v>
      </c>
      <c r="Q5">
        <v>105</v>
      </c>
      <c r="R5">
        <v>43</v>
      </c>
      <c r="S5">
        <v>42</v>
      </c>
      <c r="T5">
        <v>14</v>
      </c>
      <c r="U5">
        <v>34</v>
      </c>
      <c r="V5">
        <v>0</v>
      </c>
      <c r="W5">
        <v>108</v>
      </c>
      <c r="X5">
        <v>2</v>
      </c>
      <c r="Y5">
        <v>1</v>
      </c>
      <c r="Z5">
        <v>2</v>
      </c>
      <c r="AA5">
        <v>502</v>
      </c>
      <c r="AB5">
        <v>132</v>
      </c>
      <c r="AC5">
        <v>3.77</v>
      </c>
      <c r="AD5">
        <v>1.1419999999999999</v>
      </c>
      <c r="AE5">
        <v>7.8</v>
      </c>
      <c r="AF5">
        <v>1</v>
      </c>
      <c r="AG5">
        <v>2.5</v>
      </c>
      <c r="AH5">
        <v>8</v>
      </c>
      <c r="AI5">
        <v>3.18</v>
      </c>
      <c r="AJ5" t="s">
        <v>37</v>
      </c>
      <c r="AK5" t="s">
        <v>168</v>
      </c>
      <c r="AL5" t="s">
        <v>838</v>
      </c>
      <c r="AM5" t="s">
        <v>820</v>
      </c>
      <c r="AN5" s="1" t="str">
        <f>IFERROR(VLOOKUP(B5,'CWS Salary 2024'!A4:I42,7,FALSE), "No salary data")</f>
        <v>No salary data</v>
      </c>
    </row>
    <row r="6" spans="1:40" x14ac:dyDescent="0.25">
      <c r="A6" s="19">
        <v>5</v>
      </c>
      <c r="B6" s="19" t="s">
        <v>135</v>
      </c>
      <c r="C6" s="19">
        <v>28</v>
      </c>
      <c r="D6" s="19" t="s">
        <v>169</v>
      </c>
      <c r="E6" s="19">
        <v>0.3</v>
      </c>
      <c r="F6" s="19">
        <v>2</v>
      </c>
      <c r="G6" s="19">
        <v>8</v>
      </c>
      <c r="H6" s="19">
        <v>0.2</v>
      </c>
      <c r="I6" s="19">
        <v>4.74</v>
      </c>
      <c r="J6" s="19">
        <v>43</v>
      </c>
      <c r="K6" s="19">
        <v>0</v>
      </c>
      <c r="L6" s="19">
        <v>26</v>
      </c>
      <c r="M6" s="19">
        <v>0</v>
      </c>
      <c r="N6" s="19">
        <v>0</v>
      </c>
      <c r="O6" s="19">
        <v>9</v>
      </c>
      <c r="P6" s="19">
        <v>43.2</v>
      </c>
      <c r="Q6" s="19">
        <v>35</v>
      </c>
      <c r="R6" s="19">
        <v>24</v>
      </c>
      <c r="S6" s="19">
        <v>23</v>
      </c>
      <c r="T6" s="19">
        <v>8</v>
      </c>
      <c r="U6" s="19">
        <v>24</v>
      </c>
      <c r="V6" s="19">
        <v>2</v>
      </c>
      <c r="W6" s="19">
        <v>59</v>
      </c>
      <c r="X6" s="19">
        <v>5</v>
      </c>
      <c r="Y6" s="19">
        <v>2</v>
      </c>
      <c r="Z6" s="19">
        <v>5</v>
      </c>
      <c r="AA6" s="19">
        <v>191</v>
      </c>
      <c r="AB6" s="19">
        <v>87</v>
      </c>
      <c r="AC6" s="19">
        <v>4.84</v>
      </c>
      <c r="AD6" s="19">
        <v>1.351</v>
      </c>
      <c r="AE6" s="19">
        <v>7.2</v>
      </c>
      <c r="AF6" s="19">
        <v>1.6</v>
      </c>
      <c r="AG6" s="19">
        <v>4.9000000000000004</v>
      </c>
      <c r="AH6" s="19">
        <v>12.2</v>
      </c>
      <c r="AI6" s="19">
        <v>2.46</v>
      </c>
      <c r="AJ6" s="19" t="s">
        <v>37</v>
      </c>
      <c r="AK6" s="19" t="s">
        <v>136</v>
      </c>
      <c r="AL6" s="19" t="s">
        <v>838</v>
      </c>
      <c r="AM6" s="19" t="s">
        <v>820</v>
      </c>
      <c r="AN6" s="108" t="str">
        <f>IFERROR(VLOOKUP(B6,'CWS Salary 2024'!A5:I43,7,FALSE), "No salary data")</f>
        <v>No salary data</v>
      </c>
    </row>
    <row r="7" spans="1:40" x14ac:dyDescent="0.25">
      <c r="A7">
        <v>6</v>
      </c>
      <c r="B7" t="s">
        <v>170</v>
      </c>
      <c r="C7">
        <v>31</v>
      </c>
      <c r="D7" t="s">
        <v>171</v>
      </c>
      <c r="E7">
        <v>0.5</v>
      </c>
      <c r="F7">
        <v>1</v>
      </c>
      <c r="G7">
        <v>2</v>
      </c>
      <c r="H7">
        <v>0.33300000000000002</v>
      </c>
      <c r="I7">
        <v>4.3899999999999997</v>
      </c>
      <c r="J7">
        <v>56</v>
      </c>
      <c r="K7">
        <v>0</v>
      </c>
      <c r="L7">
        <v>14</v>
      </c>
      <c r="M7">
        <v>0</v>
      </c>
      <c r="N7">
        <v>0</v>
      </c>
      <c r="O7">
        <v>1</v>
      </c>
      <c r="P7">
        <v>53.1</v>
      </c>
      <c r="Q7">
        <v>48</v>
      </c>
      <c r="R7">
        <v>29</v>
      </c>
      <c r="S7">
        <v>26</v>
      </c>
      <c r="T7">
        <v>5</v>
      </c>
      <c r="U7">
        <v>32</v>
      </c>
      <c r="V7">
        <v>1</v>
      </c>
      <c r="W7">
        <v>57</v>
      </c>
      <c r="X7">
        <v>3</v>
      </c>
      <c r="Y7">
        <v>0</v>
      </c>
      <c r="Z7">
        <v>1</v>
      </c>
      <c r="AA7">
        <v>242</v>
      </c>
      <c r="AB7">
        <v>94</v>
      </c>
      <c r="AC7">
        <v>4.22</v>
      </c>
      <c r="AD7">
        <v>1.5</v>
      </c>
      <c r="AE7">
        <v>8.1</v>
      </c>
      <c r="AF7">
        <v>0.8</v>
      </c>
      <c r="AG7">
        <v>5.4</v>
      </c>
      <c r="AH7">
        <v>9.6</v>
      </c>
      <c r="AI7">
        <v>1.78</v>
      </c>
      <c r="AJ7" t="s">
        <v>37</v>
      </c>
      <c r="AK7" t="s">
        <v>172</v>
      </c>
      <c r="AL7" t="s">
        <v>838</v>
      </c>
      <c r="AM7" t="s">
        <v>820</v>
      </c>
      <c r="AN7" s="1" t="str">
        <f>IFERROR(VLOOKUP(B7,'CWS Salary 2024'!A6:I44,7,FALSE), "No salary data")</f>
        <v>No salary data</v>
      </c>
    </row>
    <row r="8" spans="1:40" x14ac:dyDescent="0.25">
      <c r="A8" s="19">
        <v>7</v>
      </c>
      <c r="B8" s="19" t="s">
        <v>173</v>
      </c>
      <c r="C8" s="19">
        <v>34</v>
      </c>
      <c r="D8" s="19" t="s">
        <v>171</v>
      </c>
      <c r="E8" s="19">
        <v>-0.6</v>
      </c>
      <c r="F8" s="19">
        <v>0</v>
      </c>
      <c r="G8" s="19">
        <v>6</v>
      </c>
      <c r="H8" s="19">
        <v>0</v>
      </c>
      <c r="I8" s="19">
        <v>6.29</v>
      </c>
      <c r="J8" s="19">
        <v>54</v>
      </c>
      <c r="K8" s="19">
        <v>0</v>
      </c>
      <c r="L8" s="19">
        <v>20</v>
      </c>
      <c r="M8" s="19">
        <v>0</v>
      </c>
      <c r="N8" s="19">
        <v>0</v>
      </c>
      <c r="O8" s="19">
        <v>2</v>
      </c>
      <c r="P8" s="19">
        <v>48.2</v>
      </c>
      <c r="Q8" s="19">
        <v>52</v>
      </c>
      <c r="R8" s="19">
        <v>34</v>
      </c>
      <c r="S8" s="19">
        <v>34</v>
      </c>
      <c r="T8" s="19">
        <v>9</v>
      </c>
      <c r="U8" s="19">
        <v>17</v>
      </c>
      <c r="V8" s="19">
        <v>0</v>
      </c>
      <c r="W8" s="19">
        <v>58</v>
      </c>
      <c r="X8" s="19">
        <v>3</v>
      </c>
      <c r="Y8" s="19">
        <v>0</v>
      </c>
      <c r="Z8" s="19">
        <v>1</v>
      </c>
      <c r="AA8" s="19">
        <v>216</v>
      </c>
      <c r="AB8" s="19">
        <v>66</v>
      </c>
      <c r="AC8" s="19">
        <v>4.42</v>
      </c>
      <c r="AD8" s="19">
        <v>1.4179999999999999</v>
      </c>
      <c r="AE8" s="19">
        <v>9.6</v>
      </c>
      <c r="AF8" s="19">
        <v>1.7</v>
      </c>
      <c r="AG8" s="19">
        <v>3.1</v>
      </c>
      <c r="AH8" s="19">
        <v>10.7</v>
      </c>
      <c r="AI8" s="19">
        <v>3.41</v>
      </c>
      <c r="AJ8" s="19" t="s">
        <v>37</v>
      </c>
      <c r="AK8" s="19" t="s">
        <v>134</v>
      </c>
      <c r="AL8" s="19" t="s">
        <v>838</v>
      </c>
      <c r="AM8" s="19" t="s">
        <v>820</v>
      </c>
      <c r="AN8" s="108" t="str">
        <f>IFERROR(VLOOKUP(B8,'CWS Salary 2024'!A7:I45,7,FALSE), "No salary data")</f>
        <v>No salary data</v>
      </c>
    </row>
    <row r="9" spans="1:40" x14ac:dyDescent="0.25">
      <c r="A9">
        <v>8</v>
      </c>
      <c r="B9" t="s">
        <v>174</v>
      </c>
      <c r="C9">
        <v>32</v>
      </c>
      <c r="D9" t="s">
        <v>171</v>
      </c>
      <c r="E9">
        <v>-0.1</v>
      </c>
      <c r="F9">
        <v>2</v>
      </c>
      <c r="G9">
        <v>2</v>
      </c>
      <c r="H9">
        <v>0.5</v>
      </c>
      <c r="I9">
        <v>4.13</v>
      </c>
      <c r="J9">
        <v>41</v>
      </c>
      <c r="K9">
        <v>1</v>
      </c>
      <c r="L9">
        <v>8</v>
      </c>
      <c r="M9">
        <v>0</v>
      </c>
      <c r="N9">
        <v>0</v>
      </c>
      <c r="O9">
        <v>2</v>
      </c>
      <c r="P9">
        <v>48</v>
      </c>
      <c r="Q9">
        <v>47</v>
      </c>
      <c r="R9">
        <v>30</v>
      </c>
      <c r="S9">
        <v>22</v>
      </c>
      <c r="T9">
        <v>5</v>
      </c>
      <c r="U9">
        <v>15</v>
      </c>
      <c r="V9">
        <v>2</v>
      </c>
      <c r="W9">
        <v>55</v>
      </c>
      <c r="X9">
        <v>2</v>
      </c>
      <c r="Y9">
        <v>0</v>
      </c>
      <c r="Z9">
        <v>0</v>
      </c>
      <c r="AA9">
        <v>205</v>
      </c>
      <c r="AB9">
        <v>100</v>
      </c>
      <c r="AC9">
        <v>3.29</v>
      </c>
      <c r="AD9">
        <v>1.292</v>
      </c>
      <c r="AE9">
        <v>8.8000000000000007</v>
      </c>
      <c r="AF9">
        <v>0.9</v>
      </c>
      <c r="AG9">
        <v>2.8</v>
      </c>
      <c r="AH9">
        <v>10.3</v>
      </c>
      <c r="AI9">
        <v>3.67</v>
      </c>
      <c r="AJ9" t="s">
        <v>37</v>
      </c>
      <c r="AK9" t="s">
        <v>175</v>
      </c>
      <c r="AL9" t="s">
        <v>838</v>
      </c>
      <c r="AM9" t="s">
        <v>820</v>
      </c>
      <c r="AN9" s="1" t="str">
        <f>IFERROR(VLOOKUP(B9,'CWS Salary 2024'!A8:I46,7,FALSE), "No salary data")</f>
        <v>No salary data</v>
      </c>
    </row>
    <row r="10" spans="1:40" x14ac:dyDescent="0.25">
      <c r="A10" s="19">
        <v>9</v>
      </c>
      <c r="B10" s="19" t="s">
        <v>176</v>
      </c>
      <c r="C10" s="19">
        <v>29</v>
      </c>
      <c r="D10" s="19" t="s">
        <v>171</v>
      </c>
      <c r="E10" s="19">
        <v>-0.6</v>
      </c>
      <c r="F10" s="19">
        <v>1</v>
      </c>
      <c r="G10" s="19">
        <v>6</v>
      </c>
      <c r="H10" s="19">
        <v>0.14299999999999999</v>
      </c>
      <c r="I10" s="19">
        <v>5.71</v>
      </c>
      <c r="J10" s="19">
        <v>40</v>
      </c>
      <c r="K10" s="19">
        <v>0</v>
      </c>
      <c r="L10" s="19">
        <v>12</v>
      </c>
      <c r="M10" s="19">
        <v>0</v>
      </c>
      <c r="N10" s="19">
        <v>0</v>
      </c>
      <c r="O10" s="19">
        <v>0</v>
      </c>
      <c r="P10" s="19">
        <v>34.200000000000003</v>
      </c>
      <c r="Q10" s="19">
        <v>29</v>
      </c>
      <c r="R10" s="19">
        <v>29</v>
      </c>
      <c r="S10" s="19">
        <v>22</v>
      </c>
      <c r="T10" s="19">
        <v>8</v>
      </c>
      <c r="U10" s="19">
        <v>26</v>
      </c>
      <c r="V10" s="19">
        <v>6</v>
      </c>
      <c r="W10" s="19">
        <v>34</v>
      </c>
      <c r="X10" s="19">
        <v>3</v>
      </c>
      <c r="Y10" s="19">
        <v>1</v>
      </c>
      <c r="Z10" s="19">
        <v>1</v>
      </c>
      <c r="AA10" s="19">
        <v>163</v>
      </c>
      <c r="AB10" s="19">
        <v>73</v>
      </c>
      <c r="AC10" s="19">
        <v>6.71</v>
      </c>
      <c r="AD10" s="19">
        <v>1.587</v>
      </c>
      <c r="AE10" s="19">
        <v>7.5</v>
      </c>
      <c r="AF10" s="19">
        <v>2.1</v>
      </c>
      <c r="AG10" s="19">
        <v>6.8</v>
      </c>
      <c r="AH10" s="19">
        <v>8.8000000000000007</v>
      </c>
      <c r="AI10" s="19">
        <v>1.31</v>
      </c>
      <c r="AJ10" s="19" t="s">
        <v>37</v>
      </c>
      <c r="AK10" s="19" t="s">
        <v>177</v>
      </c>
      <c r="AL10" s="19" t="s">
        <v>838</v>
      </c>
      <c r="AM10" s="19" t="s">
        <v>820</v>
      </c>
      <c r="AN10" s="108">
        <f>IFERROR(VLOOKUP(B10,'CWS Salary 2024'!A9:I47,7,FALSE), "No salary data")</f>
        <v>707350</v>
      </c>
    </row>
    <row r="11" spans="1:40" x14ac:dyDescent="0.25">
      <c r="A11">
        <v>10</v>
      </c>
      <c r="B11" t="s">
        <v>178</v>
      </c>
      <c r="C11">
        <v>26</v>
      </c>
      <c r="D11" t="s">
        <v>37</v>
      </c>
      <c r="E11">
        <v>0.7</v>
      </c>
      <c r="F11">
        <v>0</v>
      </c>
      <c r="G11">
        <v>10</v>
      </c>
      <c r="H11">
        <v>0</v>
      </c>
      <c r="I11">
        <v>4.74</v>
      </c>
      <c r="J11">
        <v>25</v>
      </c>
      <c r="K11">
        <v>9</v>
      </c>
      <c r="L11">
        <v>7</v>
      </c>
      <c r="M11">
        <v>0</v>
      </c>
      <c r="N11">
        <v>0</v>
      </c>
      <c r="O11">
        <v>0</v>
      </c>
      <c r="P11">
        <v>79.2</v>
      </c>
      <c r="Q11">
        <v>66</v>
      </c>
      <c r="R11">
        <v>49</v>
      </c>
      <c r="S11">
        <v>42</v>
      </c>
      <c r="T11">
        <v>13</v>
      </c>
      <c r="U11">
        <v>44</v>
      </c>
      <c r="V11">
        <v>1</v>
      </c>
      <c r="W11">
        <v>84</v>
      </c>
      <c r="X11">
        <v>3</v>
      </c>
      <c r="Y11">
        <v>2</v>
      </c>
      <c r="Z11">
        <v>2</v>
      </c>
      <c r="AA11">
        <v>347</v>
      </c>
      <c r="AB11">
        <v>87</v>
      </c>
      <c r="AC11">
        <v>4.95</v>
      </c>
      <c r="AD11">
        <v>1.381</v>
      </c>
      <c r="AE11">
        <v>7.5</v>
      </c>
      <c r="AF11">
        <v>1.5</v>
      </c>
      <c r="AG11">
        <v>5</v>
      </c>
      <c r="AH11">
        <v>9.5</v>
      </c>
      <c r="AI11">
        <v>1.91</v>
      </c>
      <c r="AJ11" t="s">
        <v>37</v>
      </c>
      <c r="AK11" t="s">
        <v>179</v>
      </c>
      <c r="AL11" t="s">
        <v>838</v>
      </c>
      <c r="AM11" t="s">
        <v>820</v>
      </c>
      <c r="AN11" s="1" t="str">
        <f>IFERROR(VLOOKUP(B11,'CWS Salary 2024'!A10:I48,7,FALSE), "No salary data")</f>
        <v>No salary data</v>
      </c>
    </row>
    <row r="12" spans="1:40" x14ac:dyDescent="0.25">
      <c r="A12" s="19">
        <v>11</v>
      </c>
      <c r="B12" s="19" t="s">
        <v>180</v>
      </c>
      <c r="C12" s="19">
        <v>25</v>
      </c>
      <c r="D12" s="19" t="s">
        <v>37</v>
      </c>
      <c r="E12" s="19">
        <v>1</v>
      </c>
      <c r="F12" s="19">
        <v>2</v>
      </c>
      <c r="G12" s="19">
        <v>5</v>
      </c>
      <c r="H12" s="19">
        <v>0.28599999999999998</v>
      </c>
      <c r="I12" s="19">
        <v>4.3</v>
      </c>
      <c r="J12" s="19">
        <v>39</v>
      </c>
      <c r="K12" s="19">
        <v>4</v>
      </c>
      <c r="L12" s="19">
        <v>14</v>
      </c>
      <c r="M12" s="19">
        <v>0</v>
      </c>
      <c r="N12" s="19">
        <v>0</v>
      </c>
      <c r="O12" s="19">
        <v>0</v>
      </c>
      <c r="P12" s="19">
        <v>73.099999999999994</v>
      </c>
      <c r="Q12" s="19">
        <v>74</v>
      </c>
      <c r="R12" s="19">
        <v>38</v>
      </c>
      <c r="S12" s="19">
        <v>35</v>
      </c>
      <c r="T12" s="19">
        <v>9</v>
      </c>
      <c r="U12" s="19">
        <v>33</v>
      </c>
      <c r="V12" s="19">
        <v>0</v>
      </c>
      <c r="W12" s="19">
        <v>56</v>
      </c>
      <c r="X12" s="19">
        <v>0</v>
      </c>
      <c r="Y12" s="19">
        <v>0</v>
      </c>
      <c r="Z12" s="19">
        <v>3</v>
      </c>
      <c r="AA12" s="19">
        <v>321</v>
      </c>
      <c r="AB12" s="19">
        <v>96</v>
      </c>
      <c r="AC12" s="19">
        <v>4.58</v>
      </c>
      <c r="AD12" s="19">
        <v>1.4590000000000001</v>
      </c>
      <c r="AE12" s="19">
        <v>9.1</v>
      </c>
      <c r="AF12" s="19">
        <v>1.1000000000000001</v>
      </c>
      <c r="AG12" s="19">
        <v>4.0999999999999996</v>
      </c>
      <c r="AH12" s="19">
        <v>6.9</v>
      </c>
      <c r="AI12" s="19">
        <v>1.7</v>
      </c>
      <c r="AJ12" s="19" t="s">
        <v>37</v>
      </c>
      <c r="AK12" s="19" t="s">
        <v>181</v>
      </c>
      <c r="AL12" s="19" t="s">
        <v>838</v>
      </c>
      <c r="AM12" s="19" t="s">
        <v>820</v>
      </c>
      <c r="AN12" s="108">
        <f>IFERROR(VLOOKUP(B12,'CWS Salary 2024'!A11:I49,7,FALSE), "No salary data")</f>
        <v>636480</v>
      </c>
    </row>
    <row r="13" spans="1:40" x14ac:dyDescent="0.25">
      <c r="A13">
        <v>12</v>
      </c>
      <c r="B13" t="s">
        <v>182</v>
      </c>
      <c r="C13">
        <v>31</v>
      </c>
      <c r="D13" t="s">
        <v>37</v>
      </c>
      <c r="E13">
        <v>0.2</v>
      </c>
      <c r="F13">
        <v>0</v>
      </c>
      <c r="G13">
        <v>2</v>
      </c>
      <c r="H13">
        <v>0</v>
      </c>
      <c r="I13">
        <v>5.0599999999999996</v>
      </c>
      <c r="J13">
        <v>31</v>
      </c>
      <c r="K13">
        <v>1</v>
      </c>
      <c r="L13">
        <v>7</v>
      </c>
      <c r="M13">
        <v>0</v>
      </c>
      <c r="N13">
        <v>0</v>
      </c>
      <c r="O13">
        <v>1</v>
      </c>
      <c r="P13">
        <v>53.1</v>
      </c>
      <c r="Q13">
        <v>56</v>
      </c>
      <c r="R13">
        <v>33</v>
      </c>
      <c r="S13">
        <v>30</v>
      </c>
      <c r="T13">
        <v>5</v>
      </c>
      <c r="U13">
        <v>25</v>
      </c>
      <c r="V13">
        <v>1</v>
      </c>
      <c r="W13">
        <v>54</v>
      </c>
      <c r="X13">
        <v>6</v>
      </c>
      <c r="Y13">
        <v>0</v>
      </c>
      <c r="Z13">
        <v>6</v>
      </c>
      <c r="AA13">
        <v>240</v>
      </c>
      <c r="AB13">
        <v>82</v>
      </c>
      <c r="AC13">
        <v>4.0999999999999996</v>
      </c>
      <c r="AD13">
        <v>1.5189999999999999</v>
      </c>
      <c r="AE13">
        <v>9.5</v>
      </c>
      <c r="AF13">
        <v>0.8</v>
      </c>
      <c r="AG13">
        <v>4.2</v>
      </c>
      <c r="AH13">
        <v>9.1</v>
      </c>
      <c r="AI13">
        <v>2.16</v>
      </c>
      <c r="AJ13" t="s">
        <v>37</v>
      </c>
      <c r="AK13" t="s">
        <v>183</v>
      </c>
      <c r="AL13" t="s">
        <v>838</v>
      </c>
      <c r="AM13" t="s">
        <v>820</v>
      </c>
      <c r="AN13" s="1" t="str">
        <f>IFERROR(VLOOKUP(B13,'CWS Salary 2024'!A12:I50,7,FALSE), "No salary data")</f>
        <v>No salary data</v>
      </c>
    </row>
    <row r="14" spans="1:40" x14ac:dyDescent="0.25">
      <c r="A14" s="19">
        <v>13</v>
      </c>
      <c r="B14" s="19" t="s">
        <v>184</v>
      </c>
      <c r="C14" s="19">
        <v>27</v>
      </c>
      <c r="D14" s="19" t="s">
        <v>37</v>
      </c>
      <c r="E14" s="19">
        <v>0.9</v>
      </c>
      <c r="F14" s="19">
        <v>0</v>
      </c>
      <c r="G14" s="19">
        <v>5</v>
      </c>
      <c r="H14" s="19">
        <v>0</v>
      </c>
      <c r="I14" s="19">
        <v>4.32</v>
      </c>
      <c r="J14" s="19">
        <v>11</v>
      </c>
      <c r="K14" s="19">
        <v>10</v>
      </c>
      <c r="L14" s="19">
        <v>0</v>
      </c>
      <c r="M14" s="19">
        <v>0</v>
      </c>
      <c r="N14" s="19">
        <v>0</v>
      </c>
      <c r="O14" s="19">
        <v>0</v>
      </c>
      <c r="P14" s="19">
        <v>50</v>
      </c>
      <c r="Q14" s="19">
        <v>50</v>
      </c>
      <c r="R14" s="19">
        <v>25</v>
      </c>
      <c r="S14" s="19">
        <v>24</v>
      </c>
      <c r="T14" s="19">
        <v>5</v>
      </c>
      <c r="U14" s="19">
        <v>23</v>
      </c>
      <c r="V14" s="19">
        <v>0</v>
      </c>
      <c r="W14" s="19">
        <v>47</v>
      </c>
      <c r="X14" s="19">
        <v>5</v>
      </c>
      <c r="Y14" s="19">
        <v>0</v>
      </c>
      <c r="Z14" s="19">
        <v>2</v>
      </c>
      <c r="AA14" s="19">
        <v>220</v>
      </c>
      <c r="AB14" s="19">
        <v>96</v>
      </c>
      <c r="AC14" s="19">
        <v>4.2699999999999996</v>
      </c>
      <c r="AD14" s="19">
        <v>1.46</v>
      </c>
      <c r="AE14" s="19">
        <v>9</v>
      </c>
      <c r="AF14" s="19">
        <v>0.9</v>
      </c>
      <c r="AG14" s="19">
        <v>4.0999999999999996</v>
      </c>
      <c r="AH14" s="19">
        <v>8.5</v>
      </c>
      <c r="AI14" s="19">
        <v>2.04</v>
      </c>
      <c r="AJ14" s="19" t="s">
        <v>37</v>
      </c>
      <c r="AK14" s="19" t="s">
        <v>185</v>
      </c>
      <c r="AL14" s="19" t="s">
        <v>838</v>
      </c>
      <c r="AM14" s="19" t="s">
        <v>820</v>
      </c>
      <c r="AN14" s="108">
        <f>IFERROR(VLOOKUP(B14,'CWS Salary 2024'!A13:I51,7,FALSE), "No salary data")</f>
        <v>254592</v>
      </c>
    </row>
    <row r="15" spans="1:40" x14ac:dyDescent="0.25">
      <c r="A15">
        <v>14</v>
      </c>
      <c r="B15" t="s">
        <v>186</v>
      </c>
      <c r="C15">
        <v>23</v>
      </c>
      <c r="D15" t="s">
        <v>37</v>
      </c>
      <c r="E15">
        <v>0.1</v>
      </c>
      <c r="F15">
        <v>3</v>
      </c>
      <c r="G15">
        <v>3</v>
      </c>
      <c r="H15">
        <v>0.5</v>
      </c>
      <c r="I15">
        <v>5.48</v>
      </c>
      <c r="J15">
        <v>9</v>
      </c>
      <c r="K15">
        <v>9</v>
      </c>
      <c r="L15">
        <v>0</v>
      </c>
      <c r="M15">
        <v>0</v>
      </c>
      <c r="N15">
        <v>0</v>
      </c>
      <c r="O15">
        <v>0</v>
      </c>
      <c r="P15">
        <v>44.1</v>
      </c>
      <c r="Q15">
        <v>35</v>
      </c>
      <c r="R15">
        <v>29</v>
      </c>
      <c r="S15">
        <v>27</v>
      </c>
      <c r="T15">
        <v>8</v>
      </c>
      <c r="U15">
        <v>21</v>
      </c>
      <c r="V15">
        <v>0</v>
      </c>
      <c r="W15">
        <v>25</v>
      </c>
      <c r="X15">
        <v>1</v>
      </c>
      <c r="Y15">
        <v>1</v>
      </c>
      <c r="Z15">
        <v>0</v>
      </c>
      <c r="AA15">
        <v>190</v>
      </c>
      <c r="AB15">
        <v>75</v>
      </c>
      <c r="AC15">
        <v>5.87</v>
      </c>
      <c r="AD15">
        <v>1.2629999999999999</v>
      </c>
      <c r="AE15">
        <v>7.1</v>
      </c>
      <c r="AF15">
        <v>1.6</v>
      </c>
      <c r="AG15">
        <v>4.3</v>
      </c>
      <c r="AH15">
        <v>5.0999999999999996</v>
      </c>
      <c r="AI15">
        <v>1.19</v>
      </c>
      <c r="AJ15" t="s">
        <v>37</v>
      </c>
      <c r="AK15" t="s">
        <v>187</v>
      </c>
      <c r="AL15" t="s">
        <v>838</v>
      </c>
      <c r="AM15" t="s">
        <v>820</v>
      </c>
      <c r="AN15" s="1">
        <f>IFERROR(VLOOKUP(B15,'CWS Salary 2024'!A14:I52,7,FALSE), "No salary data")</f>
        <v>437580</v>
      </c>
    </row>
    <row r="16" spans="1:40" x14ac:dyDescent="0.25">
      <c r="A16" s="19">
        <v>15</v>
      </c>
      <c r="B16" s="19" t="s">
        <v>188</v>
      </c>
      <c r="C16" s="19">
        <v>24</v>
      </c>
      <c r="D16" s="19" t="s">
        <v>37</v>
      </c>
      <c r="E16" s="19">
        <v>-0.8</v>
      </c>
      <c r="F16" s="19">
        <v>0</v>
      </c>
      <c r="G16" s="19">
        <v>7</v>
      </c>
      <c r="H16" s="19">
        <v>0</v>
      </c>
      <c r="I16" s="19">
        <v>7.07</v>
      </c>
      <c r="J16" s="19">
        <v>9</v>
      </c>
      <c r="K16" s="19">
        <v>8</v>
      </c>
      <c r="L16" s="19">
        <v>0</v>
      </c>
      <c r="M16" s="19">
        <v>0</v>
      </c>
      <c r="N16" s="19">
        <v>0</v>
      </c>
      <c r="O16" s="19">
        <v>0</v>
      </c>
      <c r="P16" s="19">
        <v>35.200000000000003</v>
      </c>
      <c r="Q16" s="19">
        <v>32</v>
      </c>
      <c r="R16" s="19">
        <v>33</v>
      </c>
      <c r="S16" s="19">
        <v>28</v>
      </c>
      <c r="T16" s="19">
        <v>7</v>
      </c>
      <c r="U16" s="19">
        <v>36</v>
      </c>
      <c r="V16" s="19">
        <v>0</v>
      </c>
      <c r="W16" s="19">
        <v>26</v>
      </c>
      <c r="X16" s="19">
        <v>1</v>
      </c>
      <c r="Y16" s="19">
        <v>0</v>
      </c>
      <c r="Z16" s="19">
        <v>3</v>
      </c>
      <c r="AA16" s="19">
        <v>174</v>
      </c>
      <c r="AB16" s="19">
        <v>59</v>
      </c>
      <c r="AC16" s="19">
        <v>7.37</v>
      </c>
      <c r="AD16" s="19">
        <v>1.907</v>
      </c>
      <c r="AE16" s="19">
        <v>8.1</v>
      </c>
      <c r="AF16" s="19">
        <v>1.8</v>
      </c>
      <c r="AG16" s="19">
        <v>9.1</v>
      </c>
      <c r="AH16" s="19">
        <v>6.6</v>
      </c>
      <c r="AI16" s="19">
        <v>0.72</v>
      </c>
      <c r="AJ16" s="19" t="s">
        <v>37</v>
      </c>
      <c r="AK16" s="19" t="s">
        <v>189</v>
      </c>
      <c r="AL16" s="19" t="s">
        <v>838</v>
      </c>
      <c r="AM16" s="19" t="s">
        <v>820</v>
      </c>
      <c r="AN16" s="108" t="str">
        <f>IFERROR(VLOOKUP(B16,'CWS Salary 2024'!A15:I53,7,FALSE), "No salary data")</f>
        <v>No salary data</v>
      </c>
    </row>
    <row r="17" spans="1:40" x14ac:dyDescent="0.25">
      <c r="A17">
        <v>16</v>
      </c>
      <c r="B17" t="s">
        <v>190</v>
      </c>
      <c r="C17">
        <v>25</v>
      </c>
      <c r="D17" t="s">
        <v>37</v>
      </c>
      <c r="E17">
        <v>-0.4</v>
      </c>
      <c r="F17">
        <v>0</v>
      </c>
      <c r="G17">
        <v>2</v>
      </c>
      <c r="H17">
        <v>0</v>
      </c>
      <c r="I17">
        <v>6.32</v>
      </c>
      <c r="J17">
        <v>33</v>
      </c>
      <c r="K17">
        <v>0</v>
      </c>
      <c r="L17">
        <v>4</v>
      </c>
      <c r="M17">
        <v>0</v>
      </c>
      <c r="N17">
        <v>0</v>
      </c>
      <c r="O17">
        <v>2</v>
      </c>
      <c r="P17">
        <v>31.1</v>
      </c>
      <c r="Q17">
        <v>32</v>
      </c>
      <c r="R17">
        <v>22</v>
      </c>
      <c r="S17">
        <v>22</v>
      </c>
      <c r="T17">
        <v>6</v>
      </c>
      <c r="U17">
        <v>18</v>
      </c>
      <c r="V17">
        <v>0</v>
      </c>
      <c r="W17">
        <v>26</v>
      </c>
      <c r="X17">
        <v>1</v>
      </c>
      <c r="Y17">
        <v>0</v>
      </c>
      <c r="Z17">
        <v>3</v>
      </c>
      <c r="AA17">
        <v>142</v>
      </c>
      <c r="AB17">
        <v>66</v>
      </c>
      <c r="AC17">
        <v>5.81</v>
      </c>
      <c r="AD17">
        <v>1.5960000000000001</v>
      </c>
      <c r="AE17">
        <v>9.1999999999999993</v>
      </c>
      <c r="AF17">
        <v>1.7</v>
      </c>
      <c r="AG17">
        <v>5.2</v>
      </c>
      <c r="AH17">
        <v>7.5</v>
      </c>
      <c r="AI17">
        <v>1.44</v>
      </c>
      <c r="AJ17" t="s">
        <v>37</v>
      </c>
      <c r="AK17" t="s">
        <v>191</v>
      </c>
      <c r="AL17" t="s">
        <v>838</v>
      </c>
      <c r="AM17" t="s">
        <v>820</v>
      </c>
      <c r="AN17" s="1" t="str">
        <f>IFERROR(VLOOKUP(B17,'CWS Salary 2024'!A16:I54,7,FALSE), "No salary data")</f>
        <v>No salary data</v>
      </c>
    </row>
    <row r="18" spans="1:40" x14ac:dyDescent="0.25">
      <c r="A18" s="19">
        <v>17</v>
      </c>
      <c r="B18" s="19" t="s">
        <v>192</v>
      </c>
      <c r="C18" s="19">
        <v>26</v>
      </c>
      <c r="D18" s="19" t="s">
        <v>37</v>
      </c>
      <c r="E18" s="19">
        <v>0.2</v>
      </c>
      <c r="F18" s="19">
        <v>2</v>
      </c>
      <c r="G18" s="19">
        <v>3</v>
      </c>
      <c r="H18" s="19">
        <v>0.4</v>
      </c>
      <c r="I18" s="19">
        <v>3.75</v>
      </c>
      <c r="J18" s="19">
        <v>25</v>
      </c>
      <c r="K18" s="19">
        <v>0</v>
      </c>
      <c r="L18" s="19">
        <v>2</v>
      </c>
      <c r="M18" s="19">
        <v>0</v>
      </c>
      <c r="N18" s="19">
        <v>0</v>
      </c>
      <c r="O18" s="19">
        <v>1</v>
      </c>
      <c r="P18" s="19">
        <v>24</v>
      </c>
      <c r="Q18" s="19">
        <v>18</v>
      </c>
      <c r="R18" s="19">
        <v>12</v>
      </c>
      <c r="S18" s="19">
        <v>10</v>
      </c>
      <c r="T18" s="19">
        <v>3</v>
      </c>
      <c r="U18" s="19">
        <v>12</v>
      </c>
      <c r="V18" s="19">
        <v>3</v>
      </c>
      <c r="W18" s="19">
        <v>26</v>
      </c>
      <c r="X18" s="19">
        <v>1</v>
      </c>
      <c r="Y18" s="19">
        <v>0</v>
      </c>
      <c r="Z18" s="19">
        <v>5</v>
      </c>
      <c r="AA18" s="19">
        <v>101</v>
      </c>
      <c r="AB18" s="19">
        <v>111</v>
      </c>
      <c r="AC18" s="19">
        <v>4.25</v>
      </c>
      <c r="AD18" s="19">
        <v>1.25</v>
      </c>
      <c r="AE18" s="19">
        <v>6.8</v>
      </c>
      <c r="AF18" s="19">
        <v>1.1000000000000001</v>
      </c>
      <c r="AG18" s="19">
        <v>4.5</v>
      </c>
      <c r="AH18" s="19">
        <v>9.8000000000000007</v>
      </c>
      <c r="AI18" s="19">
        <v>2.17</v>
      </c>
      <c r="AJ18" s="19" t="s">
        <v>37</v>
      </c>
      <c r="AK18" s="19" t="s">
        <v>193</v>
      </c>
      <c r="AL18" s="19" t="s">
        <v>838</v>
      </c>
      <c r="AM18" s="19" t="s">
        <v>820</v>
      </c>
      <c r="AN18" s="108">
        <f>IFERROR(VLOOKUP(B18,'CWS Salary 2024'!A17:I55,7,FALSE), "No salary data")</f>
        <v>242658</v>
      </c>
    </row>
    <row r="19" spans="1:40" x14ac:dyDescent="0.25">
      <c r="A19">
        <v>18</v>
      </c>
      <c r="B19" t="s">
        <v>194</v>
      </c>
      <c r="C19">
        <v>34</v>
      </c>
      <c r="D19" t="s">
        <v>37</v>
      </c>
      <c r="E19">
        <v>-0.4</v>
      </c>
      <c r="F19">
        <v>1</v>
      </c>
      <c r="G19">
        <v>0</v>
      </c>
      <c r="H19">
        <v>1</v>
      </c>
      <c r="I19">
        <v>5.87</v>
      </c>
      <c r="J19">
        <v>27</v>
      </c>
      <c r="K19">
        <v>0</v>
      </c>
      <c r="L19">
        <v>9</v>
      </c>
      <c r="M19">
        <v>0</v>
      </c>
      <c r="N19">
        <v>0</v>
      </c>
      <c r="O19">
        <v>0</v>
      </c>
      <c r="P19">
        <v>23</v>
      </c>
      <c r="Q19">
        <v>41</v>
      </c>
      <c r="R19">
        <v>19</v>
      </c>
      <c r="S19">
        <v>15</v>
      </c>
      <c r="T19">
        <v>0</v>
      </c>
      <c r="U19">
        <v>10</v>
      </c>
      <c r="V19">
        <v>1</v>
      </c>
      <c r="W19">
        <v>13</v>
      </c>
      <c r="X19">
        <v>1</v>
      </c>
      <c r="Y19">
        <v>0</v>
      </c>
      <c r="Z19">
        <v>0</v>
      </c>
      <c r="AA19">
        <v>118</v>
      </c>
      <c r="AB19">
        <v>71</v>
      </c>
      <c r="AC19">
        <v>3.47</v>
      </c>
      <c r="AD19">
        <v>2.2170000000000001</v>
      </c>
      <c r="AE19">
        <v>16</v>
      </c>
      <c r="AF19">
        <v>0</v>
      </c>
      <c r="AG19">
        <v>3.9</v>
      </c>
      <c r="AH19">
        <v>5.0999999999999996</v>
      </c>
      <c r="AI19">
        <v>1.3</v>
      </c>
      <c r="AJ19" t="s">
        <v>37</v>
      </c>
      <c r="AK19" t="s">
        <v>195</v>
      </c>
      <c r="AL19" t="s">
        <v>838</v>
      </c>
      <c r="AM19" t="s">
        <v>820</v>
      </c>
      <c r="AN19" s="1" t="str">
        <f>IFERROR(VLOOKUP(B19,'CWS Salary 2024'!A18:I56,7,FALSE), "No salary data")</f>
        <v>No salary data</v>
      </c>
    </row>
    <row r="20" spans="1:40" x14ac:dyDescent="0.25">
      <c r="A20" s="19">
        <v>19</v>
      </c>
      <c r="B20" s="19" t="s">
        <v>196</v>
      </c>
      <c r="C20" s="19">
        <v>28</v>
      </c>
      <c r="D20" s="19" t="s">
        <v>37</v>
      </c>
      <c r="E20" s="19">
        <v>-0.3</v>
      </c>
      <c r="F20" s="19">
        <v>1</v>
      </c>
      <c r="G20" s="19">
        <v>2</v>
      </c>
      <c r="H20" s="19">
        <v>0.33300000000000002</v>
      </c>
      <c r="I20" s="19">
        <v>7.43</v>
      </c>
      <c r="J20" s="19">
        <v>11</v>
      </c>
      <c r="K20" s="19">
        <v>0</v>
      </c>
      <c r="L20" s="19">
        <v>2</v>
      </c>
      <c r="M20" s="19">
        <v>0</v>
      </c>
      <c r="N20" s="19">
        <v>0</v>
      </c>
      <c r="O20" s="19">
        <v>0</v>
      </c>
      <c r="P20" s="19">
        <v>23</v>
      </c>
      <c r="Q20" s="19">
        <v>35</v>
      </c>
      <c r="R20" s="19">
        <v>19</v>
      </c>
      <c r="S20" s="19">
        <v>19</v>
      </c>
      <c r="T20" s="19">
        <v>3</v>
      </c>
      <c r="U20" s="19">
        <v>18</v>
      </c>
      <c r="V20" s="19">
        <v>0</v>
      </c>
      <c r="W20" s="19">
        <v>26</v>
      </c>
      <c r="X20" s="19">
        <v>1</v>
      </c>
      <c r="Y20" s="19">
        <v>0</v>
      </c>
      <c r="Z20" s="19">
        <v>1</v>
      </c>
      <c r="AA20" s="19">
        <v>117</v>
      </c>
      <c r="AB20" s="19">
        <v>56</v>
      </c>
      <c r="AC20" s="19">
        <v>5.08</v>
      </c>
      <c r="AD20" s="19">
        <v>2.3039999999999998</v>
      </c>
      <c r="AE20" s="19">
        <v>13.7</v>
      </c>
      <c r="AF20" s="19">
        <v>1.2</v>
      </c>
      <c r="AG20" s="19">
        <v>7</v>
      </c>
      <c r="AH20" s="19">
        <v>10.199999999999999</v>
      </c>
      <c r="AI20" s="19">
        <v>1.44</v>
      </c>
      <c r="AJ20" s="19" t="s">
        <v>37</v>
      </c>
      <c r="AK20" s="19" t="s">
        <v>197</v>
      </c>
      <c r="AL20" s="19" t="s">
        <v>838</v>
      </c>
      <c r="AM20" s="19" t="s">
        <v>820</v>
      </c>
      <c r="AN20" s="108" t="str">
        <f>IFERROR(VLOOKUP(B20,'CWS Salary 2024'!A19:I57,7,FALSE), "No salary data")</f>
        <v>No salary data</v>
      </c>
    </row>
    <row r="21" spans="1:40" x14ac:dyDescent="0.25">
      <c r="A21">
        <v>20</v>
      </c>
      <c r="B21" t="s">
        <v>198</v>
      </c>
      <c r="C21">
        <v>27</v>
      </c>
      <c r="D21" t="s">
        <v>37</v>
      </c>
      <c r="E21">
        <v>0.3</v>
      </c>
      <c r="F21">
        <v>1</v>
      </c>
      <c r="G21">
        <v>0</v>
      </c>
      <c r="H21">
        <v>1</v>
      </c>
      <c r="I21">
        <v>3.54</v>
      </c>
      <c r="J21">
        <v>19</v>
      </c>
      <c r="K21">
        <v>0</v>
      </c>
      <c r="L21">
        <v>5</v>
      </c>
      <c r="M21">
        <v>0</v>
      </c>
      <c r="N21">
        <v>0</v>
      </c>
      <c r="O21">
        <v>0</v>
      </c>
      <c r="P21">
        <v>20.100000000000001</v>
      </c>
      <c r="Q21">
        <v>23</v>
      </c>
      <c r="R21">
        <v>9</v>
      </c>
      <c r="S21">
        <v>8</v>
      </c>
      <c r="T21">
        <v>1</v>
      </c>
      <c r="U21">
        <v>4</v>
      </c>
      <c r="V21">
        <v>1</v>
      </c>
      <c r="W21">
        <v>24</v>
      </c>
      <c r="X21">
        <v>0</v>
      </c>
      <c r="Y21">
        <v>0</v>
      </c>
      <c r="Z21">
        <v>2</v>
      </c>
      <c r="AA21">
        <v>85</v>
      </c>
      <c r="AB21">
        <v>118</v>
      </c>
      <c r="AC21">
        <v>2.0299999999999998</v>
      </c>
      <c r="AD21">
        <v>1.3280000000000001</v>
      </c>
      <c r="AE21">
        <v>10.199999999999999</v>
      </c>
      <c r="AF21">
        <v>0.4</v>
      </c>
      <c r="AG21">
        <v>1.8</v>
      </c>
      <c r="AH21">
        <v>10.6</v>
      </c>
      <c r="AI21">
        <v>6</v>
      </c>
      <c r="AJ21" t="s">
        <v>37</v>
      </c>
      <c r="AK21" t="s">
        <v>199</v>
      </c>
      <c r="AL21" t="s">
        <v>838</v>
      </c>
      <c r="AM21" t="s">
        <v>820</v>
      </c>
      <c r="AN21" s="1">
        <f>IFERROR(VLOOKUP(B21,'CWS Salary 2024'!A20:I58,7,FALSE), "No salary data")</f>
        <v>171054</v>
      </c>
    </row>
    <row r="22" spans="1:40" x14ac:dyDescent="0.25">
      <c r="A22" s="19">
        <v>21</v>
      </c>
      <c r="B22" s="19" t="s">
        <v>200</v>
      </c>
      <c r="C22" s="19">
        <v>24</v>
      </c>
      <c r="D22" s="19" t="s">
        <v>37</v>
      </c>
      <c r="E22" s="19">
        <v>0.4</v>
      </c>
      <c r="F22" s="19">
        <v>1</v>
      </c>
      <c r="G22" s="19">
        <v>0</v>
      </c>
      <c r="H22" s="19">
        <v>1</v>
      </c>
      <c r="I22" s="19">
        <v>3.32</v>
      </c>
      <c r="J22" s="19">
        <v>17</v>
      </c>
      <c r="K22" s="19">
        <v>0</v>
      </c>
      <c r="L22" s="19">
        <v>3</v>
      </c>
      <c r="M22" s="19">
        <v>0</v>
      </c>
      <c r="N22" s="19">
        <v>0</v>
      </c>
      <c r="O22" s="19">
        <v>0</v>
      </c>
      <c r="P22" s="19">
        <v>19</v>
      </c>
      <c r="Q22" s="19">
        <v>15</v>
      </c>
      <c r="R22" s="19">
        <v>7</v>
      </c>
      <c r="S22" s="19">
        <v>7</v>
      </c>
      <c r="T22" s="19">
        <v>2</v>
      </c>
      <c r="U22" s="19">
        <v>13</v>
      </c>
      <c r="V22" s="19">
        <v>1</v>
      </c>
      <c r="W22" s="19">
        <v>26</v>
      </c>
      <c r="X22" s="19">
        <v>1</v>
      </c>
      <c r="Y22" s="19">
        <v>0</v>
      </c>
      <c r="Z22" s="19">
        <v>0</v>
      </c>
      <c r="AA22" s="19">
        <v>83</v>
      </c>
      <c r="AB22" s="19">
        <v>126</v>
      </c>
      <c r="AC22" s="19">
        <v>4.01</v>
      </c>
      <c r="AD22" s="19">
        <v>1.474</v>
      </c>
      <c r="AE22" s="19">
        <v>7.1</v>
      </c>
      <c r="AF22" s="19">
        <v>0.9</v>
      </c>
      <c r="AG22" s="19">
        <v>6.2</v>
      </c>
      <c r="AH22" s="19">
        <v>12.3</v>
      </c>
      <c r="AI22" s="19">
        <v>2</v>
      </c>
      <c r="AJ22" s="19" t="s">
        <v>37</v>
      </c>
      <c r="AK22" s="19" t="s">
        <v>201</v>
      </c>
      <c r="AL22" s="19" t="s">
        <v>838</v>
      </c>
      <c r="AM22" s="19" t="s">
        <v>820</v>
      </c>
      <c r="AN22" s="108">
        <f>IFERROR(VLOOKUP(B22,'CWS Salary 2024'!A21:I59,7,FALSE), "No salary data")</f>
        <v>159120</v>
      </c>
    </row>
    <row r="23" spans="1:40" x14ac:dyDescent="0.25">
      <c r="A23">
        <v>22</v>
      </c>
      <c r="B23" t="s">
        <v>202</v>
      </c>
      <c r="C23">
        <v>32</v>
      </c>
      <c r="D23" t="s">
        <v>37</v>
      </c>
      <c r="E23">
        <v>-0.7</v>
      </c>
      <c r="F23">
        <v>0</v>
      </c>
      <c r="G23">
        <v>2</v>
      </c>
      <c r="H23">
        <v>0</v>
      </c>
      <c r="I23">
        <v>6.63</v>
      </c>
      <c r="J23">
        <v>23</v>
      </c>
      <c r="K23">
        <v>0</v>
      </c>
      <c r="L23">
        <v>4</v>
      </c>
      <c r="M23">
        <v>0</v>
      </c>
      <c r="N23">
        <v>0</v>
      </c>
      <c r="O23">
        <v>0</v>
      </c>
      <c r="P23">
        <v>19</v>
      </c>
      <c r="Q23">
        <v>20</v>
      </c>
      <c r="R23">
        <v>17</v>
      </c>
      <c r="S23">
        <v>14</v>
      </c>
      <c r="T23">
        <v>4</v>
      </c>
      <c r="U23">
        <v>14</v>
      </c>
      <c r="V23">
        <v>1</v>
      </c>
      <c r="W23">
        <v>17</v>
      </c>
      <c r="X23">
        <v>0</v>
      </c>
      <c r="Y23">
        <v>0</v>
      </c>
      <c r="Z23">
        <v>2</v>
      </c>
      <c r="AA23">
        <v>89</v>
      </c>
      <c r="AB23">
        <v>63</v>
      </c>
      <c r="AC23">
        <v>6.32</v>
      </c>
      <c r="AD23">
        <v>1.7889999999999999</v>
      </c>
      <c r="AE23">
        <v>9.5</v>
      </c>
      <c r="AF23">
        <v>1.9</v>
      </c>
      <c r="AG23">
        <v>6.6</v>
      </c>
      <c r="AH23">
        <v>8.1</v>
      </c>
      <c r="AI23">
        <v>1.21</v>
      </c>
      <c r="AJ23" t="s">
        <v>37</v>
      </c>
      <c r="AK23" t="s">
        <v>203</v>
      </c>
      <c r="AL23" t="s">
        <v>838</v>
      </c>
      <c r="AM23" t="s">
        <v>820</v>
      </c>
      <c r="AN23" s="1">
        <f>IFERROR(VLOOKUP(B23,'CWS Salary 2024'!A22:I60,7,FALSE), "No salary data")</f>
        <v>1500000</v>
      </c>
    </row>
    <row r="24" spans="1:40" x14ac:dyDescent="0.25">
      <c r="A24" s="19">
        <v>23</v>
      </c>
      <c r="B24" s="19" t="s">
        <v>204</v>
      </c>
      <c r="C24" s="19">
        <v>24</v>
      </c>
      <c r="D24" s="19" t="s">
        <v>37</v>
      </c>
      <c r="E24" s="19">
        <v>0.9</v>
      </c>
      <c r="F24" s="19">
        <v>2</v>
      </c>
      <c r="G24" s="19">
        <v>0</v>
      </c>
      <c r="H24" s="19">
        <v>1</v>
      </c>
      <c r="I24" s="19">
        <v>1.42</v>
      </c>
      <c r="J24" s="19">
        <v>4</v>
      </c>
      <c r="K24" s="19">
        <v>3</v>
      </c>
      <c r="L24" s="19">
        <v>1</v>
      </c>
      <c r="M24" s="19">
        <v>0</v>
      </c>
      <c r="N24" s="19">
        <v>0</v>
      </c>
      <c r="O24" s="19">
        <v>0</v>
      </c>
      <c r="P24" s="19">
        <v>19</v>
      </c>
      <c r="Q24" s="19">
        <v>12</v>
      </c>
      <c r="R24" s="19">
        <v>4</v>
      </c>
      <c r="S24" s="19">
        <v>3</v>
      </c>
      <c r="T24" s="19">
        <v>2</v>
      </c>
      <c r="U24" s="19">
        <v>7</v>
      </c>
      <c r="V24" s="19">
        <v>0</v>
      </c>
      <c r="W24" s="19">
        <v>22</v>
      </c>
      <c r="X24" s="19">
        <v>0</v>
      </c>
      <c r="Y24" s="19">
        <v>0</v>
      </c>
      <c r="Z24" s="19">
        <v>1</v>
      </c>
      <c r="AA24" s="19">
        <v>76</v>
      </c>
      <c r="AB24" s="19">
        <v>294</v>
      </c>
      <c r="AC24" s="19">
        <v>3.32</v>
      </c>
      <c r="AD24" s="19">
        <v>1</v>
      </c>
      <c r="AE24" s="19">
        <v>5.7</v>
      </c>
      <c r="AF24" s="19">
        <v>0.9</v>
      </c>
      <c r="AG24" s="19">
        <v>3.3</v>
      </c>
      <c r="AH24" s="19">
        <v>10.4</v>
      </c>
      <c r="AI24" s="19">
        <v>3.14</v>
      </c>
      <c r="AJ24" s="19" t="s">
        <v>37</v>
      </c>
      <c r="AK24" s="19" t="s">
        <v>205</v>
      </c>
      <c r="AL24" s="19" t="s">
        <v>838</v>
      </c>
      <c r="AM24" s="19" t="s">
        <v>820</v>
      </c>
      <c r="AN24" s="108">
        <f>IFERROR(VLOOKUP(B24,'CWS Salary 2024'!A23:I61,7,FALSE), "No salary data")</f>
        <v>75582</v>
      </c>
    </row>
    <row r="25" spans="1:40" x14ac:dyDescent="0.25">
      <c r="A25">
        <v>24</v>
      </c>
      <c r="B25" t="s">
        <v>206</v>
      </c>
      <c r="C25">
        <v>24</v>
      </c>
      <c r="D25" t="s">
        <v>37</v>
      </c>
      <c r="E25">
        <v>0.1</v>
      </c>
      <c r="F25">
        <v>0</v>
      </c>
      <c r="G25">
        <v>3</v>
      </c>
      <c r="H25">
        <v>0</v>
      </c>
      <c r="I25">
        <v>5.6</v>
      </c>
      <c r="J25">
        <v>4</v>
      </c>
      <c r="K25">
        <v>4</v>
      </c>
      <c r="L25">
        <v>0</v>
      </c>
      <c r="M25">
        <v>0</v>
      </c>
      <c r="N25">
        <v>0</v>
      </c>
      <c r="O25">
        <v>0</v>
      </c>
      <c r="P25">
        <v>17.2</v>
      </c>
      <c r="Q25">
        <v>20</v>
      </c>
      <c r="R25">
        <v>11</v>
      </c>
      <c r="S25">
        <v>11</v>
      </c>
      <c r="T25">
        <v>2</v>
      </c>
      <c r="U25">
        <v>16</v>
      </c>
      <c r="V25">
        <v>1</v>
      </c>
      <c r="W25">
        <v>11</v>
      </c>
      <c r="X25">
        <v>1</v>
      </c>
      <c r="Y25">
        <v>0</v>
      </c>
      <c r="Z25">
        <v>2</v>
      </c>
      <c r="AA25">
        <v>87</v>
      </c>
      <c r="AB25">
        <v>75</v>
      </c>
      <c r="AC25">
        <v>6.28</v>
      </c>
      <c r="AD25">
        <v>2.0379999999999998</v>
      </c>
      <c r="AE25">
        <v>10.199999999999999</v>
      </c>
      <c r="AF25">
        <v>1</v>
      </c>
      <c r="AG25">
        <v>8.1999999999999993</v>
      </c>
      <c r="AH25">
        <v>5.6</v>
      </c>
      <c r="AI25">
        <v>0.69</v>
      </c>
      <c r="AJ25" t="s">
        <v>37</v>
      </c>
      <c r="AK25" t="s">
        <v>207</v>
      </c>
      <c r="AL25" t="s">
        <v>838</v>
      </c>
      <c r="AM25" t="s">
        <v>820</v>
      </c>
      <c r="AN25" s="1">
        <f>IFERROR(VLOOKUP(B25,'CWS Salary 2024'!A24:I62,7,FALSE), "No salary data")</f>
        <v>83538</v>
      </c>
    </row>
    <row r="26" spans="1:40" x14ac:dyDescent="0.25">
      <c r="A26" s="19">
        <v>25</v>
      </c>
      <c r="B26" s="19" t="s">
        <v>208</v>
      </c>
      <c r="C26" s="19">
        <v>28</v>
      </c>
      <c r="D26" s="19" t="s">
        <v>37</v>
      </c>
      <c r="E26" s="19">
        <v>0.4</v>
      </c>
      <c r="F26" s="19">
        <v>0</v>
      </c>
      <c r="G26" s="19">
        <v>0</v>
      </c>
      <c r="H26" s="19"/>
      <c r="I26" s="19">
        <v>3.63</v>
      </c>
      <c r="J26" s="19">
        <v>15</v>
      </c>
      <c r="K26" s="19">
        <v>0</v>
      </c>
      <c r="L26" s="19">
        <v>6</v>
      </c>
      <c r="M26" s="19">
        <v>0</v>
      </c>
      <c r="N26" s="19">
        <v>0</v>
      </c>
      <c r="O26" s="19">
        <v>1</v>
      </c>
      <c r="P26" s="19">
        <v>17.100000000000001</v>
      </c>
      <c r="Q26" s="19">
        <v>13</v>
      </c>
      <c r="R26" s="19">
        <v>7</v>
      </c>
      <c r="S26" s="19">
        <v>7</v>
      </c>
      <c r="T26" s="19">
        <v>5</v>
      </c>
      <c r="U26" s="19">
        <v>9</v>
      </c>
      <c r="V26" s="19">
        <v>0</v>
      </c>
      <c r="W26" s="19">
        <v>13</v>
      </c>
      <c r="X26" s="19">
        <v>1</v>
      </c>
      <c r="Y26" s="19">
        <v>0</v>
      </c>
      <c r="Z26" s="19">
        <v>0</v>
      </c>
      <c r="AA26" s="19">
        <v>71</v>
      </c>
      <c r="AB26" s="19">
        <v>115</v>
      </c>
      <c r="AC26" s="19">
        <v>7.15</v>
      </c>
      <c r="AD26" s="19">
        <v>1.2689999999999999</v>
      </c>
      <c r="AE26" s="19">
        <v>6.8</v>
      </c>
      <c r="AF26" s="19">
        <v>2.6</v>
      </c>
      <c r="AG26" s="19">
        <v>4.7</v>
      </c>
      <c r="AH26" s="19">
        <v>6.8</v>
      </c>
      <c r="AI26" s="19">
        <v>1.44</v>
      </c>
      <c r="AJ26" s="19" t="s">
        <v>37</v>
      </c>
      <c r="AK26" s="19" t="s">
        <v>209</v>
      </c>
      <c r="AL26" s="19" t="s">
        <v>838</v>
      </c>
      <c r="AM26" s="19" t="s">
        <v>820</v>
      </c>
      <c r="AN26" s="108" t="str">
        <f>IFERROR(VLOOKUP(B26,'CWS Salary 2024'!A25:I63,7,FALSE), "No salary data")</f>
        <v>No salary data</v>
      </c>
    </row>
    <row r="27" spans="1:40" x14ac:dyDescent="0.25">
      <c r="A27">
        <v>26</v>
      </c>
      <c r="B27" t="s">
        <v>210</v>
      </c>
      <c r="C27">
        <v>28</v>
      </c>
      <c r="D27" t="s">
        <v>37</v>
      </c>
      <c r="E27">
        <v>0.1</v>
      </c>
      <c r="F27">
        <v>0</v>
      </c>
      <c r="G27">
        <v>2</v>
      </c>
      <c r="H27">
        <v>0</v>
      </c>
      <c r="I27">
        <v>4.8600000000000003</v>
      </c>
      <c r="J27">
        <v>5</v>
      </c>
      <c r="K27">
        <v>2</v>
      </c>
      <c r="L27">
        <v>2</v>
      </c>
      <c r="M27">
        <v>0</v>
      </c>
      <c r="N27">
        <v>0</v>
      </c>
      <c r="O27">
        <v>0</v>
      </c>
      <c r="P27">
        <v>16.2</v>
      </c>
      <c r="Q27">
        <v>17</v>
      </c>
      <c r="R27">
        <v>10</v>
      </c>
      <c r="S27">
        <v>9</v>
      </c>
      <c r="T27">
        <v>5</v>
      </c>
      <c r="U27">
        <v>6</v>
      </c>
      <c r="V27">
        <v>0</v>
      </c>
      <c r="W27">
        <v>13</v>
      </c>
      <c r="X27">
        <v>0</v>
      </c>
      <c r="Y27">
        <v>0</v>
      </c>
      <c r="Z27">
        <v>2</v>
      </c>
      <c r="AA27">
        <v>76</v>
      </c>
      <c r="AB27">
        <v>86</v>
      </c>
      <c r="AC27">
        <v>6.59</v>
      </c>
      <c r="AD27">
        <v>1.38</v>
      </c>
      <c r="AE27">
        <v>9.1999999999999993</v>
      </c>
      <c r="AF27">
        <v>2.7</v>
      </c>
      <c r="AG27">
        <v>3.2</v>
      </c>
      <c r="AH27">
        <v>7</v>
      </c>
      <c r="AI27">
        <v>2.17</v>
      </c>
      <c r="AJ27" t="s">
        <v>37</v>
      </c>
      <c r="AK27" t="s">
        <v>211</v>
      </c>
      <c r="AL27" t="s">
        <v>838</v>
      </c>
      <c r="AM27" t="s">
        <v>820</v>
      </c>
      <c r="AN27" s="1" t="str">
        <f>IFERROR(VLOOKUP(B27,'CWS Salary 2024'!A26:I64,7,FALSE), "No salary data")</f>
        <v>No salary data</v>
      </c>
    </row>
    <row r="28" spans="1:40" x14ac:dyDescent="0.25">
      <c r="A28" s="19">
        <v>27</v>
      </c>
      <c r="B28" s="19" t="s">
        <v>212</v>
      </c>
      <c r="C28" s="19">
        <v>33</v>
      </c>
      <c r="D28" s="19" t="s">
        <v>37</v>
      </c>
      <c r="E28" s="19">
        <v>-0.1</v>
      </c>
      <c r="F28" s="19">
        <v>0</v>
      </c>
      <c r="G28" s="19">
        <v>3</v>
      </c>
      <c r="H28" s="19">
        <v>0</v>
      </c>
      <c r="I28" s="19">
        <v>6.75</v>
      </c>
      <c r="J28" s="19">
        <v>4</v>
      </c>
      <c r="K28" s="19">
        <v>4</v>
      </c>
      <c r="L28" s="19">
        <v>0</v>
      </c>
      <c r="M28" s="19">
        <v>0</v>
      </c>
      <c r="N28" s="19">
        <v>0</v>
      </c>
      <c r="O28" s="19">
        <v>0</v>
      </c>
      <c r="P28" s="19">
        <v>16</v>
      </c>
      <c r="Q28" s="19">
        <v>22</v>
      </c>
      <c r="R28" s="19">
        <v>13</v>
      </c>
      <c r="S28" s="19">
        <v>12</v>
      </c>
      <c r="T28" s="19">
        <v>4</v>
      </c>
      <c r="U28" s="19">
        <v>9</v>
      </c>
      <c r="V28" s="19">
        <v>1</v>
      </c>
      <c r="W28" s="19">
        <v>15</v>
      </c>
      <c r="X28" s="19">
        <v>0</v>
      </c>
      <c r="Y28" s="19">
        <v>0</v>
      </c>
      <c r="Z28" s="19">
        <v>2</v>
      </c>
      <c r="AA28" s="19">
        <v>78</v>
      </c>
      <c r="AB28" s="19">
        <v>62</v>
      </c>
      <c r="AC28" s="19">
        <v>6.23</v>
      </c>
      <c r="AD28" s="19">
        <v>1.9379999999999999</v>
      </c>
      <c r="AE28" s="19">
        <v>12.4</v>
      </c>
      <c r="AF28" s="19">
        <v>2.2999999999999998</v>
      </c>
      <c r="AG28" s="19">
        <v>5.0999999999999996</v>
      </c>
      <c r="AH28" s="19">
        <v>8.4</v>
      </c>
      <c r="AI28" s="19">
        <v>1.67</v>
      </c>
      <c r="AJ28" s="19" t="s">
        <v>37</v>
      </c>
      <c r="AK28" s="19" t="s">
        <v>213</v>
      </c>
      <c r="AL28" s="19" t="s">
        <v>838</v>
      </c>
      <c r="AM28" s="19" t="s">
        <v>820</v>
      </c>
      <c r="AN28" s="108">
        <f>IFERROR(VLOOKUP(B28,'CWS Salary 2024'!A27:I65,7,FALSE), "No salary data")</f>
        <v>3000000</v>
      </c>
    </row>
    <row r="29" spans="1:40" x14ac:dyDescent="0.25">
      <c r="A29">
        <v>28</v>
      </c>
      <c r="B29" t="s">
        <v>214</v>
      </c>
      <c r="C29">
        <v>26</v>
      </c>
      <c r="D29" t="s">
        <v>37</v>
      </c>
      <c r="E29">
        <v>0.1</v>
      </c>
      <c r="F29">
        <v>0</v>
      </c>
      <c r="G29">
        <v>0</v>
      </c>
      <c r="I29">
        <v>4.8</v>
      </c>
      <c r="J29">
        <v>9</v>
      </c>
      <c r="K29">
        <v>0</v>
      </c>
      <c r="L29">
        <v>4</v>
      </c>
      <c r="M29">
        <v>0</v>
      </c>
      <c r="N29">
        <v>0</v>
      </c>
      <c r="O29">
        <v>0</v>
      </c>
      <c r="P29">
        <v>15</v>
      </c>
      <c r="Q29">
        <v>21</v>
      </c>
      <c r="R29">
        <v>9</v>
      </c>
      <c r="S29">
        <v>8</v>
      </c>
      <c r="T29">
        <v>2</v>
      </c>
      <c r="U29">
        <v>7</v>
      </c>
      <c r="V29">
        <v>0</v>
      </c>
      <c r="W29">
        <v>11</v>
      </c>
      <c r="X29">
        <v>0</v>
      </c>
      <c r="Y29">
        <v>1</v>
      </c>
      <c r="Z29">
        <v>0</v>
      </c>
      <c r="AA29">
        <v>72</v>
      </c>
      <c r="AB29">
        <v>88</v>
      </c>
      <c r="AC29">
        <v>4.83</v>
      </c>
      <c r="AD29">
        <v>1.867</v>
      </c>
      <c r="AE29">
        <v>12.6</v>
      </c>
      <c r="AF29">
        <v>1.2</v>
      </c>
      <c r="AG29">
        <v>4.2</v>
      </c>
      <c r="AH29">
        <v>6.6</v>
      </c>
      <c r="AI29">
        <v>1.57</v>
      </c>
      <c r="AJ29" t="s">
        <v>37</v>
      </c>
      <c r="AK29" t="s">
        <v>215</v>
      </c>
      <c r="AL29" t="s">
        <v>838</v>
      </c>
      <c r="AM29" t="s">
        <v>820</v>
      </c>
      <c r="AN29" s="1" t="str">
        <f>IFERROR(VLOOKUP(B29,'CWS Salary 2024'!A28:I66,7,FALSE), "No salary data")</f>
        <v>No salary data</v>
      </c>
    </row>
    <row r="30" spans="1:40" x14ac:dyDescent="0.25">
      <c r="A30" s="19">
        <v>29</v>
      </c>
      <c r="B30" s="19" t="s">
        <v>216</v>
      </c>
      <c r="C30" s="19">
        <v>25</v>
      </c>
      <c r="D30" s="19" t="s">
        <v>37</v>
      </c>
      <c r="E30" s="19">
        <v>-0.7</v>
      </c>
      <c r="F30" s="19">
        <v>1</v>
      </c>
      <c r="G30" s="19">
        <v>2</v>
      </c>
      <c r="H30" s="19">
        <v>0.33300000000000002</v>
      </c>
      <c r="I30" s="19">
        <v>7.07</v>
      </c>
      <c r="J30" s="19">
        <v>14</v>
      </c>
      <c r="K30" s="19">
        <v>0</v>
      </c>
      <c r="L30" s="19">
        <v>3</v>
      </c>
      <c r="M30" s="19">
        <v>0</v>
      </c>
      <c r="N30" s="19">
        <v>0</v>
      </c>
      <c r="O30" s="19">
        <v>1</v>
      </c>
      <c r="P30" s="19">
        <v>14</v>
      </c>
      <c r="Q30" s="19">
        <v>16</v>
      </c>
      <c r="R30" s="19">
        <v>16</v>
      </c>
      <c r="S30" s="19">
        <v>11</v>
      </c>
      <c r="T30" s="19">
        <v>2</v>
      </c>
      <c r="U30" s="19">
        <v>11</v>
      </c>
      <c r="V30" s="19">
        <v>1</v>
      </c>
      <c r="W30" s="19">
        <v>15</v>
      </c>
      <c r="X30" s="19">
        <v>0</v>
      </c>
      <c r="Y30" s="19">
        <v>0</v>
      </c>
      <c r="Z30" s="19">
        <v>4</v>
      </c>
      <c r="AA30" s="19">
        <v>68</v>
      </c>
      <c r="AB30" s="19">
        <v>60</v>
      </c>
      <c r="AC30" s="19">
        <v>5.24</v>
      </c>
      <c r="AD30" s="19">
        <v>1.929</v>
      </c>
      <c r="AE30" s="19">
        <v>10.3</v>
      </c>
      <c r="AF30" s="19">
        <v>1.3</v>
      </c>
      <c r="AG30" s="19">
        <v>7.1</v>
      </c>
      <c r="AH30" s="19">
        <v>9.6</v>
      </c>
      <c r="AI30" s="19">
        <v>1.36</v>
      </c>
      <c r="AJ30" s="19" t="s">
        <v>37</v>
      </c>
      <c r="AK30" s="19" t="s">
        <v>217</v>
      </c>
      <c r="AL30" s="19" t="s">
        <v>838</v>
      </c>
      <c r="AM30" s="19" t="s">
        <v>820</v>
      </c>
      <c r="AN30" s="108" t="str">
        <f>IFERROR(VLOOKUP(B30,'CWS Salary 2024'!A29:I67,7,FALSE), "No salary data")</f>
        <v>No salary data</v>
      </c>
    </row>
    <row r="31" spans="1:40" x14ac:dyDescent="0.25">
      <c r="A31">
        <v>30</v>
      </c>
      <c r="B31" t="s">
        <v>218</v>
      </c>
      <c r="C31">
        <v>27</v>
      </c>
      <c r="D31" t="s">
        <v>37</v>
      </c>
      <c r="E31">
        <v>-0.4</v>
      </c>
      <c r="F31">
        <v>0</v>
      </c>
      <c r="G31">
        <v>2</v>
      </c>
      <c r="H31">
        <v>0</v>
      </c>
      <c r="I31">
        <v>10.8</v>
      </c>
      <c r="J31">
        <v>2</v>
      </c>
      <c r="K31">
        <v>2</v>
      </c>
      <c r="L31">
        <v>0</v>
      </c>
      <c r="M31">
        <v>0</v>
      </c>
      <c r="N31">
        <v>0</v>
      </c>
      <c r="O31">
        <v>0</v>
      </c>
      <c r="P31">
        <v>8.1</v>
      </c>
      <c r="Q31">
        <v>15</v>
      </c>
      <c r="R31">
        <v>10</v>
      </c>
      <c r="S31">
        <v>10</v>
      </c>
      <c r="T31">
        <v>2</v>
      </c>
      <c r="U31">
        <v>5</v>
      </c>
      <c r="V31">
        <v>0</v>
      </c>
      <c r="W31">
        <v>7</v>
      </c>
      <c r="X31">
        <v>1</v>
      </c>
      <c r="Y31">
        <v>0</v>
      </c>
      <c r="Z31">
        <v>0</v>
      </c>
      <c r="AA31">
        <v>46</v>
      </c>
      <c r="AB31">
        <v>40</v>
      </c>
      <c r="AC31">
        <v>6.77</v>
      </c>
      <c r="AD31">
        <v>2.4</v>
      </c>
      <c r="AE31">
        <v>16.2</v>
      </c>
      <c r="AF31">
        <v>2.2000000000000002</v>
      </c>
      <c r="AG31">
        <v>5.4</v>
      </c>
      <c r="AH31">
        <v>7.6</v>
      </c>
      <c r="AI31">
        <v>1.4</v>
      </c>
      <c r="AJ31" t="s">
        <v>37</v>
      </c>
      <c r="AK31" t="s">
        <v>219</v>
      </c>
      <c r="AL31" t="s">
        <v>838</v>
      </c>
      <c r="AM31" t="s">
        <v>820</v>
      </c>
      <c r="AN31" s="1" t="str">
        <f>IFERROR(VLOOKUP(B31,'CWS Salary 2024'!A30:I68,7,FALSE), "No salary data")</f>
        <v>No salary data</v>
      </c>
    </row>
    <row r="32" spans="1:40" x14ac:dyDescent="0.25">
      <c r="A32" s="19">
        <v>31</v>
      </c>
      <c r="B32" s="19" t="s">
        <v>220</v>
      </c>
      <c r="C32" s="19">
        <v>29</v>
      </c>
      <c r="D32" s="19" t="s">
        <v>37</v>
      </c>
      <c r="E32" s="19">
        <v>0.3</v>
      </c>
      <c r="F32" s="19">
        <v>0</v>
      </c>
      <c r="G32" s="19">
        <v>1</v>
      </c>
      <c r="H32" s="19">
        <v>0</v>
      </c>
      <c r="I32" s="19">
        <v>2.7</v>
      </c>
      <c r="J32" s="19">
        <v>6</v>
      </c>
      <c r="K32" s="19">
        <v>1</v>
      </c>
      <c r="L32" s="19">
        <v>1</v>
      </c>
      <c r="M32" s="19">
        <v>0</v>
      </c>
      <c r="N32" s="19">
        <v>0</v>
      </c>
      <c r="O32" s="19">
        <v>0</v>
      </c>
      <c r="P32" s="19">
        <v>6.2</v>
      </c>
      <c r="Q32" s="19">
        <v>5</v>
      </c>
      <c r="R32" s="19">
        <v>2</v>
      </c>
      <c r="S32" s="19">
        <v>2</v>
      </c>
      <c r="T32" s="19">
        <v>1</v>
      </c>
      <c r="U32" s="19">
        <v>5</v>
      </c>
      <c r="V32" s="19">
        <v>0</v>
      </c>
      <c r="W32" s="19">
        <v>4</v>
      </c>
      <c r="X32" s="19">
        <v>0</v>
      </c>
      <c r="Y32" s="19">
        <v>0</v>
      </c>
      <c r="Z32" s="19">
        <v>0</v>
      </c>
      <c r="AA32" s="19">
        <v>30</v>
      </c>
      <c r="AB32" s="19">
        <v>160</v>
      </c>
      <c r="AC32" s="19">
        <v>6.17</v>
      </c>
      <c r="AD32" s="19">
        <v>1.5</v>
      </c>
      <c r="AE32" s="19">
        <v>6.8</v>
      </c>
      <c r="AF32" s="19">
        <v>1.4</v>
      </c>
      <c r="AG32" s="19">
        <v>6.8</v>
      </c>
      <c r="AH32" s="19">
        <v>5.4</v>
      </c>
      <c r="AI32" s="19">
        <v>0.8</v>
      </c>
      <c r="AJ32" s="19" t="s">
        <v>37</v>
      </c>
      <c r="AK32" s="19" t="s">
        <v>221</v>
      </c>
      <c r="AL32" s="19" t="s">
        <v>838</v>
      </c>
      <c r="AM32" s="19" t="s">
        <v>820</v>
      </c>
      <c r="AN32" s="108">
        <f>IFERROR(VLOOKUP(B32,'CWS Salary 2024'!A31:I69,7,FALSE), "No salary data")</f>
        <v>108864</v>
      </c>
    </row>
    <row r="33" spans="1:40" x14ac:dyDescent="0.25">
      <c r="A33">
        <v>32</v>
      </c>
      <c r="B33" t="s">
        <v>222</v>
      </c>
      <c r="C33">
        <v>22</v>
      </c>
      <c r="D33" t="s">
        <v>37</v>
      </c>
      <c r="E33">
        <v>0.1</v>
      </c>
      <c r="F33">
        <v>0</v>
      </c>
      <c r="G33">
        <v>1</v>
      </c>
      <c r="H33">
        <v>0</v>
      </c>
      <c r="I33">
        <v>1.5</v>
      </c>
      <c r="J33">
        <v>6</v>
      </c>
      <c r="K33">
        <v>0</v>
      </c>
      <c r="L33">
        <v>2</v>
      </c>
      <c r="M33">
        <v>0</v>
      </c>
      <c r="N33">
        <v>0</v>
      </c>
      <c r="O33">
        <v>0</v>
      </c>
      <c r="P33">
        <v>6</v>
      </c>
      <c r="Q33">
        <v>3</v>
      </c>
      <c r="R33">
        <v>3</v>
      </c>
      <c r="S33">
        <v>1</v>
      </c>
      <c r="T33">
        <v>0</v>
      </c>
      <c r="U33">
        <v>8</v>
      </c>
      <c r="V33">
        <v>0</v>
      </c>
      <c r="W33">
        <v>6</v>
      </c>
      <c r="X33">
        <v>0</v>
      </c>
      <c r="Y33">
        <v>0</v>
      </c>
      <c r="Z33">
        <v>0</v>
      </c>
      <c r="AA33">
        <v>30</v>
      </c>
      <c r="AB33">
        <v>290</v>
      </c>
      <c r="AC33">
        <v>5.17</v>
      </c>
      <c r="AD33">
        <v>1.833</v>
      </c>
      <c r="AE33">
        <v>4.5</v>
      </c>
      <c r="AF33">
        <v>0</v>
      </c>
      <c r="AG33">
        <v>12</v>
      </c>
      <c r="AH33">
        <v>9</v>
      </c>
      <c r="AI33">
        <v>0.75</v>
      </c>
      <c r="AJ33" t="s">
        <v>37</v>
      </c>
      <c r="AK33" t="s">
        <v>223</v>
      </c>
      <c r="AL33" t="s">
        <v>838</v>
      </c>
      <c r="AM33" t="s">
        <v>820</v>
      </c>
      <c r="AN33" s="1" t="str">
        <f>IFERROR(VLOOKUP(B33,'CWS Salary 2024'!A32:I70,7,FALSE), "No salary data")</f>
        <v>No salary data</v>
      </c>
    </row>
    <row r="34" spans="1:40" x14ac:dyDescent="0.25">
      <c r="A34" s="19">
        <v>33</v>
      </c>
      <c r="B34" s="19" t="s">
        <v>224</v>
      </c>
      <c r="C34" s="19">
        <v>36</v>
      </c>
      <c r="D34" s="19" t="s">
        <v>37</v>
      </c>
      <c r="E34" s="19">
        <v>-0.2</v>
      </c>
      <c r="F34" s="19">
        <v>0</v>
      </c>
      <c r="G34" s="19">
        <v>1</v>
      </c>
      <c r="H34" s="19">
        <v>0</v>
      </c>
      <c r="I34" s="19">
        <v>9</v>
      </c>
      <c r="J34" s="19">
        <v>5</v>
      </c>
      <c r="K34" s="19">
        <v>0</v>
      </c>
      <c r="L34" s="19">
        <v>3</v>
      </c>
      <c r="M34" s="19">
        <v>0</v>
      </c>
      <c r="N34" s="19">
        <v>0</v>
      </c>
      <c r="O34" s="19">
        <v>0</v>
      </c>
      <c r="P34" s="19">
        <v>4</v>
      </c>
      <c r="Q34" s="19">
        <v>8</v>
      </c>
      <c r="R34" s="19">
        <v>5</v>
      </c>
      <c r="S34" s="19">
        <v>4</v>
      </c>
      <c r="T34" s="19">
        <v>1</v>
      </c>
      <c r="U34" s="19">
        <v>4</v>
      </c>
      <c r="V34" s="19">
        <v>1</v>
      </c>
      <c r="W34" s="19">
        <v>4</v>
      </c>
      <c r="X34" s="19">
        <v>0</v>
      </c>
      <c r="Y34" s="19">
        <v>0</v>
      </c>
      <c r="Z34" s="19">
        <v>1</v>
      </c>
      <c r="AA34" s="19">
        <v>24</v>
      </c>
      <c r="AB34" s="19">
        <v>50</v>
      </c>
      <c r="AC34" s="19">
        <v>7.42</v>
      </c>
      <c r="AD34" s="19">
        <v>3</v>
      </c>
      <c r="AE34" s="19">
        <v>18</v>
      </c>
      <c r="AF34" s="19">
        <v>2.2999999999999998</v>
      </c>
      <c r="AG34" s="19">
        <v>9</v>
      </c>
      <c r="AH34" s="19">
        <v>9</v>
      </c>
      <c r="AI34" s="19">
        <v>1</v>
      </c>
      <c r="AJ34" s="19" t="s">
        <v>37</v>
      </c>
      <c r="AK34" s="19" t="s">
        <v>225</v>
      </c>
      <c r="AL34" s="19" t="s">
        <v>838</v>
      </c>
      <c r="AM34" s="19" t="s">
        <v>820</v>
      </c>
      <c r="AN34" s="108" t="str">
        <f>IFERROR(VLOOKUP(B34,'CWS Salary 2024'!A33:I71,7,FALSE), "No salary data")</f>
        <v>No salary data</v>
      </c>
    </row>
    <row r="35" spans="1:40" x14ac:dyDescent="0.25">
      <c r="A35">
        <v>34</v>
      </c>
      <c r="B35" t="s">
        <v>226</v>
      </c>
      <c r="C35">
        <v>25</v>
      </c>
      <c r="D35" t="s">
        <v>37</v>
      </c>
      <c r="E35">
        <v>0</v>
      </c>
      <c r="F35">
        <v>0</v>
      </c>
      <c r="G35">
        <v>0</v>
      </c>
      <c r="I35">
        <v>4.5</v>
      </c>
      <c r="J35">
        <v>1</v>
      </c>
      <c r="K35">
        <v>0</v>
      </c>
      <c r="L35">
        <v>1</v>
      </c>
      <c r="M35">
        <v>0</v>
      </c>
      <c r="N35">
        <v>0</v>
      </c>
      <c r="O35">
        <v>0</v>
      </c>
      <c r="P35">
        <v>2</v>
      </c>
      <c r="Q35">
        <v>2</v>
      </c>
      <c r="R35">
        <v>1</v>
      </c>
      <c r="S35">
        <v>1</v>
      </c>
      <c r="T35">
        <v>0</v>
      </c>
      <c r="U35">
        <v>1</v>
      </c>
      <c r="V35">
        <v>0</v>
      </c>
      <c r="W35">
        <v>1</v>
      </c>
      <c r="X35">
        <v>1</v>
      </c>
      <c r="Y35">
        <v>0</v>
      </c>
      <c r="Z35">
        <v>1</v>
      </c>
      <c r="AA35">
        <v>9</v>
      </c>
      <c r="AB35">
        <v>108</v>
      </c>
      <c r="AC35">
        <v>5.17</v>
      </c>
      <c r="AD35">
        <v>1.5</v>
      </c>
      <c r="AE35">
        <v>9</v>
      </c>
      <c r="AF35">
        <v>0</v>
      </c>
      <c r="AG35">
        <v>4.5</v>
      </c>
      <c r="AH35">
        <v>4.5</v>
      </c>
      <c r="AI35">
        <v>1</v>
      </c>
      <c r="AJ35" t="s">
        <v>37</v>
      </c>
      <c r="AK35" t="s">
        <v>227</v>
      </c>
      <c r="AL35" t="s">
        <v>838</v>
      </c>
      <c r="AM35" t="s">
        <v>820</v>
      </c>
      <c r="AN35" s="1" t="str">
        <f>IFERROR(VLOOKUP(B35,'CWS Salary 2024'!A34:I72,7,FALSE), "No salary data")</f>
        <v>No salary data</v>
      </c>
    </row>
    <row r="36" spans="1:40" x14ac:dyDescent="0.25">
      <c r="A36" s="18">
        <v>35</v>
      </c>
      <c r="B36" s="18" t="s">
        <v>86</v>
      </c>
      <c r="C36" s="18">
        <v>30</v>
      </c>
      <c r="D36" s="18" t="s">
        <v>37</v>
      </c>
      <c r="E36" s="18">
        <v>0</v>
      </c>
      <c r="F36" s="18">
        <v>0</v>
      </c>
      <c r="G36" s="18">
        <v>0</v>
      </c>
      <c r="H36" s="18"/>
      <c r="I36" s="18">
        <v>0</v>
      </c>
      <c r="J36" s="18">
        <v>1</v>
      </c>
      <c r="K36" s="18">
        <v>0</v>
      </c>
      <c r="L36" s="18">
        <v>1</v>
      </c>
      <c r="M36" s="18">
        <v>0</v>
      </c>
      <c r="N36" s="18">
        <v>0</v>
      </c>
      <c r="O36" s="18">
        <v>0</v>
      </c>
      <c r="P36" s="18">
        <v>1</v>
      </c>
      <c r="Q36" s="18">
        <v>2</v>
      </c>
      <c r="R36" s="18">
        <v>0</v>
      </c>
      <c r="S36" s="18">
        <v>0</v>
      </c>
      <c r="T36" s="18">
        <v>0</v>
      </c>
      <c r="U36" s="18">
        <v>0</v>
      </c>
      <c r="V36" s="18">
        <v>0</v>
      </c>
      <c r="W36" s="18">
        <v>0</v>
      </c>
      <c r="X36" s="18">
        <v>0</v>
      </c>
      <c r="Y36" s="18">
        <v>0</v>
      </c>
      <c r="Z36" s="18">
        <v>0</v>
      </c>
      <c r="AA36" s="18">
        <v>4</v>
      </c>
      <c r="AB36" s="18"/>
      <c r="AC36" s="18">
        <v>3.17</v>
      </c>
      <c r="AD36" s="18">
        <v>2</v>
      </c>
      <c r="AE36" s="18">
        <v>18</v>
      </c>
      <c r="AF36" s="18">
        <v>0</v>
      </c>
      <c r="AG36" s="18">
        <v>0</v>
      </c>
      <c r="AH36" s="18">
        <v>0</v>
      </c>
      <c r="AI36" s="18"/>
      <c r="AJ36" s="18" t="s">
        <v>37</v>
      </c>
      <c r="AK36" s="18" t="s">
        <v>88</v>
      </c>
      <c r="AL36" s="18" t="s">
        <v>838</v>
      </c>
      <c r="AM36" s="18" t="s">
        <v>820</v>
      </c>
      <c r="AN36" s="117" t="str">
        <f>IFERROR(VLOOKUP(B36,'CWS Salary 2024'!A35:I73,7,FALSE), "No salary data")</f>
        <v>No salary data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3E3AC-76AD-4795-A8A8-AA0FF29A1B19}">
  <sheetPr codeName="Sheet3"/>
  <dimension ref="A1:L39"/>
  <sheetViews>
    <sheetView topLeftCell="E1" zoomScale="70" zoomScaleNormal="100" workbookViewId="0">
      <selection activeCell="H2" sqref="H2"/>
    </sheetView>
  </sheetViews>
  <sheetFormatPr defaultRowHeight="15" x14ac:dyDescent="0.25"/>
  <cols>
    <col min="1" max="1" width="17" bestFit="1" customWidth="1"/>
    <col min="4" max="4" width="19" bestFit="1" customWidth="1"/>
    <col min="5" max="5" width="19.42578125" customWidth="1"/>
    <col min="6" max="6" width="13.28515625" customWidth="1"/>
    <col min="7" max="7" width="13.85546875" bestFit="1" customWidth="1"/>
    <col min="8" max="8" width="13.7109375" customWidth="1"/>
    <col min="9" max="9" width="15.85546875" customWidth="1"/>
    <col min="12" max="12" width="14.28515625" bestFit="1" customWidth="1"/>
  </cols>
  <sheetData>
    <row r="1" spans="1:12" x14ac:dyDescent="0.25">
      <c r="A1" s="103" t="s">
        <v>1</v>
      </c>
      <c r="B1" s="103" t="s">
        <v>3</v>
      </c>
      <c r="C1" s="103" t="s">
        <v>2</v>
      </c>
      <c r="D1" s="103" t="s">
        <v>718</v>
      </c>
      <c r="E1" s="103" t="s">
        <v>719</v>
      </c>
      <c r="F1" s="103" t="s">
        <v>720</v>
      </c>
      <c r="G1" s="103" t="s">
        <v>721</v>
      </c>
      <c r="H1" s="103" t="s">
        <v>722</v>
      </c>
      <c r="I1" s="103" t="s">
        <v>723</v>
      </c>
      <c r="L1" s="2" t="s">
        <v>833</v>
      </c>
    </row>
    <row r="2" spans="1:12" x14ac:dyDescent="0.25">
      <c r="A2" s="104" t="s">
        <v>724</v>
      </c>
      <c r="B2" s="104" t="s">
        <v>66</v>
      </c>
      <c r="C2" s="104">
        <v>30</v>
      </c>
      <c r="D2" s="104" t="s">
        <v>725</v>
      </c>
      <c r="E2" s="105">
        <v>15000000</v>
      </c>
      <c r="F2" s="106">
        <v>6.2199999999999998E-2</v>
      </c>
      <c r="G2" s="105">
        <v>16500000</v>
      </c>
      <c r="H2" s="105">
        <v>17100000</v>
      </c>
      <c r="I2" s="104">
        <v>2028</v>
      </c>
    </row>
    <row r="3" spans="1:12" x14ac:dyDescent="0.25">
      <c r="A3" t="s">
        <v>731</v>
      </c>
      <c r="B3" t="s">
        <v>11</v>
      </c>
      <c r="C3">
        <v>29</v>
      </c>
      <c r="D3" t="s">
        <v>725</v>
      </c>
      <c r="E3" s="1">
        <v>14000000</v>
      </c>
      <c r="F3" s="107">
        <v>5.91E-2</v>
      </c>
      <c r="G3" s="1">
        <v>24000000</v>
      </c>
      <c r="H3" s="1">
        <v>24800000</v>
      </c>
    </row>
    <row r="4" spans="1:12" x14ac:dyDescent="0.25">
      <c r="A4" s="104" t="s">
        <v>57</v>
      </c>
      <c r="B4" s="19" t="s">
        <v>58</v>
      </c>
      <c r="C4" s="19">
        <v>27</v>
      </c>
      <c r="D4" s="19" t="s">
        <v>730</v>
      </c>
      <c r="E4" s="108">
        <v>8333333</v>
      </c>
      <c r="F4" s="109">
        <v>3.5200000000000002E-2</v>
      </c>
      <c r="G4" s="108">
        <v>12500000</v>
      </c>
      <c r="H4" s="108">
        <v>12500000</v>
      </c>
      <c r="I4" s="19">
        <v>2028</v>
      </c>
    </row>
    <row r="5" spans="1:12" x14ac:dyDescent="0.25">
      <c r="A5" t="s">
        <v>732</v>
      </c>
      <c r="B5" t="s">
        <v>47</v>
      </c>
      <c r="C5">
        <v>29</v>
      </c>
      <c r="D5" t="s">
        <v>733</v>
      </c>
      <c r="E5" s="1">
        <v>4300000</v>
      </c>
      <c r="F5" s="107">
        <v>1.8100000000000002E-2</v>
      </c>
      <c r="G5" s="1">
        <v>4300000</v>
      </c>
      <c r="H5" s="1">
        <v>4300000</v>
      </c>
      <c r="I5">
        <v>2026</v>
      </c>
    </row>
    <row r="6" spans="1:12" x14ac:dyDescent="0.25">
      <c r="A6" s="19" t="s">
        <v>39</v>
      </c>
      <c r="B6" s="19" t="s">
        <v>40</v>
      </c>
      <c r="C6" s="19">
        <v>27</v>
      </c>
      <c r="D6" s="19" t="s">
        <v>726</v>
      </c>
      <c r="E6" s="108">
        <v>5850000</v>
      </c>
      <c r="F6" s="109">
        <v>2.4299999999999999E-2</v>
      </c>
      <c r="G6" s="110">
        <v>5850000</v>
      </c>
      <c r="H6" s="110">
        <v>5850000</v>
      </c>
      <c r="I6" s="19">
        <v>2027</v>
      </c>
    </row>
    <row r="7" spans="1:12" x14ac:dyDescent="0.25">
      <c r="A7" t="s">
        <v>178</v>
      </c>
      <c r="B7" t="s">
        <v>160</v>
      </c>
      <c r="C7">
        <v>26</v>
      </c>
      <c r="D7" t="s">
        <v>734</v>
      </c>
      <c r="E7" s="1">
        <v>3000000</v>
      </c>
      <c r="F7" s="107">
        <v>1.2699999999999999E-2</v>
      </c>
      <c r="G7" s="1">
        <v>3000000</v>
      </c>
      <c r="H7" s="1">
        <v>3000000</v>
      </c>
    </row>
    <row r="8" spans="1:12" x14ac:dyDescent="0.25">
      <c r="A8" s="19" t="s">
        <v>159</v>
      </c>
      <c r="B8" s="19" t="s">
        <v>160</v>
      </c>
      <c r="C8" s="19">
        <v>30</v>
      </c>
      <c r="D8" s="19" t="s">
        <v>725</v>
      </c>
      <c r="E8" s="108">
        <v>1750000</v>
      </c>
      <c r="F8" s="109">
        <v>7.4000000000000003E-3</v>
      </c>
      <c r="G8" s="108">
        <v>1750000</v>
      </c>
      <c r="H8" s="108">
        <v>1750000</v>
      </c>
      <c r="I8" s="19">
        <v>2025</v>
      </c>
    </row>
    <row r="9" spans="1:12" x14ac:dyDescent="0.25">
      <c r="A9" t="s">
        <v>735</v>
      </c>
      <c r="B9" t="s">
        <v>160</v>
      </c>
      <c r="C9">
        <v>25</v>
      </c>
      <c r="D9" t="s">
        <v>727</v>
      </c>
      <c r="E9" s="1">
        <v>800000</v>
      </c>
      <c r="F9" s="107">
        <v>3.3999999999999998E-3</v>
      </c>
      <c r="G9" s="1">
        <v>800000</v>
      </c>
      <c r="H9" s="1">
        <v>800000</v>
      </c>
    </row>
    <row r="10" spans="1:12" x14ac:dyDescent="0.25">
      <c r="A10" s="19" t="s">
        <v>736</v>
      </c>
      <c r="B10" s="19" t="s">
        <v>737</v>
      </c>
      <c r="C10" s="19">
        <v>28</v>
      </c>
      <c r="D10" s="19" t="s">
        <v>738</v>
      </c>
      <c r="E10" s="108">
        <v>756950</v>
      </c>
      <c r="F10" s="109">
        <v>3.2000000000000002E-3</v>
      </c>
      <c r="G10" s="108">
        <v>756950</v>
      </c>
      <c r="H10" s="108">
        <v>756950</v>
      </c>
      <c r="I10" s="19"/>
    </row>
    <row r="11" spans="1:12" x14ac:dyDescent="0.25">
      <c r="A11" t="s">
        <v>34</v>
      </c>
      <c r="B11" t="s">
        <v>35</v>
      </c>
      <c r="C11">
        <v>25</v>
      </c>
      <c r="D11" t="s">
        <v>738</v>
      </c>
      <c r="E11" s="1">
        <v>745000</v>
      </c>
      <c r="F11" s="107">
        <v>3.0999999999999999E-3</v>
      </c>
      <c r="G11" s="1">
        <v>745000</v>
      </c>
      <c r="H11" s="1">
        <v>745000</v>
      </c>
    </row>
    <row r="12" spans="1:12" x14ac:dyDescent="0.25">
      <c r="A12" s="19" t="s">
        <v>739</v>
      </c>
      <c r="B12" s="19" t="s">
        <v>171</v>
      </c>
      <c r="C12" s="19">
        <v>25</v>
      </c>
      <c r="D12" s="19" t="s">
        <v>738</v>
      </c>
      <c r="E12" s="108">
        <v>636480</v>
      </c>
      <c r="F12" s="109">
        <v>2.7000000000000001E-3</v>
      </c>
      <c r="G12" s="108">
        <v>636480</v>
      </c>
      <c r="H12" s="108">
        <v>636480</v>
      </c>
      <c r="I12" s="19"/>
    </row>
    <row r="13" spans="1:12" x14ac:dyDescent="0.25">
      <c r="A13" t="s">
        <v>740</v>
      </c>
      <c r="B13" t="s">
        <v>737</v>
      </c>
      <c r="C13">
        <v>26</v>
      </c>
      <c r="D13" t="s">
        <v>738</v>
      </c>
      <c r="E13" s="1">
        <v>595106</v>
      </c>
      <c r="F13" s="107">
        <v>2.5000000000000001E-3</v>
      </c>
      <c r="G13" s="1">
        <v>595106</v>
      </c>
      <c r="H13" s="1">
        <v>595106</v>
      </c>
    </row>
    <row r="14" spans="1:12" x14ac:dyDescent="0.25">
      <c r="A14" s="19" t="s">
        <v>741</v>
      </c>
      <c r="B14" s="19" t="s">
        <v>171</v>
      </c>
      <c r="C14" s="19">
        <v>31</v>
      </c>
      <c r="D14" s="19" t="s">
        <v>738</v>
      </c>
      <c r="E14" s="108">
        <v>525096</v>
      </c>
      <c r="F14" s="109">
        <v>2.2000000000000001E-3</v>
      </c>
      <c r="G14" s="108">
        <v>525096</v>
      </c>
      <c r="H14" s="108">
        <v>525096</v>
      </c>
      <c r="I14" s="19"/>
    </row>
    <row r="15" spans="1:12" x14ac:dyDescent="0.25">
      <c r="A15" t="s">
        <v>742</v>
      </c>
      <c r="B15" t="s">
        <v>160</v>
      </c>
      <c r="C15">
        <v>23</v>
      </c>
      <c r="D15" t="s">
        <v>738</v>
      </c>
      <c r="E15" s="1">
        <v>501228</v>
      </c>
      <c r="F15" s="107">
        <v>2.0999999999999999E-3</v>
      </c>
      <c r="G15" s="1">
        <v>501228</v>
      </c>
      <c r="H15" s="1">
        <v>501228</v>
      </c>
    </row>
    <row r="16" spans="1:12" x14ac:dyDescent="0.25">
      <c r="A16" s="19" t="s">
        <v>50</v>
      </c>
      <c r="B16" s="19" t="s">
        <v>10</v>
      </c>
      <c r="C16" s="19">
        <v>24</v>
      </c>
      <c r="D16" s="19" t="s">
        <v>738</v>
      </c>
      <c r="E16" s="108">
        <v>497250</v>
      </c>
      <c r="F16" s="109">
        <v>2.0999999999999999E-3</v>
      </c>
      <c r="G16" s="108">
        <v>497250</v>
      </c>
      <c r="H16" s="108">
        <v>497250</v>
      </c>
      <c r="I16" s="19"/>
    </row>
    <row r="17" spans="1:9" x14ac:dyDescent="0.25">
      <c r="A17" t="s">
        <v>743</v>
      </c>
      <c r="B17" t="s">
        <v>35</v>
      </c>
      <c r="C17">
        <v>29</v>
      </c>
      <c r="D17" t="s">
        <v>738</v>
      </c>
      <c r="E17" s="1">
        <v>411730</v>
      </c>
      <c r="F17" s="107">
        <v>1.6999999999999999E-3</v>
      </c>
      <c r="G17" s="1">
        <v>411730</v>
      </c>
      <c r="H17" s="1">
        <v>411730</v>
      </c>
    </row>
    <row r="18" spans="1:9" x14ac:dyDescent="0.25">
      <c r="A18" s="19" t="s">
        <v>208</v>
      </c>
      <c r="B18" s="19" t="s">
        <v>171</v>
      </c>
      <c r="C18" s="19">
        <v>28</v>
      </c>
      <c r="D18" s="19" t="s">
        <v>727</v>
      </c>
      <c r="E18" s="108">
        <v>268191</v>
      </c>
      <c r="F18" s="109">
        <v>1.1000000000000001E-3</v>
      </c>
      <c r="G18" s="108">
        <v>268191</v>
      </c>
      <c r="H18" s="108">
        <v>268191</v>
      </c>
      <c r="I18" s="19">
        <v>2027</v>
      </c>
    </row>
    <row r="19" spans="1:9" x14ac:dyDescent="0.25">
      <c r="A19" t="s">
        <v>184</v>
      </c>
      <c r="B19" t="s">
        <v>160</v>
      </c>
      <c r="C19">
        <v>27</v>
      </c>
      <c r="D19" t="s">
        <v>738</v>
      </c>
      <c r="E19" s="1">
        <v>254592</v>
      </c>
      <c r="F19" s="107">
        <v>1.1000000000000001E-3</v>
      </c>
      <c r="G19" s="1">
        <v>254592</v>
      </c>
      <c r="H19" s="1">
        <v>254592</v>
      </c>
    </row>
    <row r="20" spans="1:9" x14ac:dyDescent="0.25">
      <c r="A20" s="19" t="s">
        <v>80</v>
      </c>
      <c r="B20" s="19" t="s">
        <v>11</v>
      </c>
      <c r="C20" s="19">
        <v>24</v>
      </c>
      <c r="D20" s="19" t="s">
        <v>738</v>
      </c>
      <c r="E20" s="108">
        <v>246636</v>
      </c>
      <c r="F20" s="109">
        <v>1E-3</v>
      </c>
      <c r="G20" s="108">
        <v>246636</v>
      </c>
      <c r="H20" s="108">
        <v>246636</v>
      </c>
      <c r="I20" s="19"/>
    </row>
    <row r="21" spans="1:9" x14ac:dyDescent="0.25">
      <c r="A21" t="s">
        <v>729</v>
      </c>
      <c r="B21" t="s">
        <v>171</v>
      </c>
      <c r="C21">
        <v>26</v>
      </c>
      <c r="D21" t="s">
        <v>738</v>
      </c>
      <c r="E21" s="1">
        <v>242658</v>
      </c>
      <c r="F21" s="107">
        <v>1E-3</v>
      </c>
      <c r="G21" s="1">
        <v>242658</v>
      </c>
      <c r="H21" s="1">
        <v>242658</v>
      </c>
    </row>
    <row r="22" spans="1:9" x14ac:dyDescent="0.25">
      <c r="A22" s="19" t="s">
        <v>92</v>
      </c>
      <c r="B22" s="19" t="s">
        <v>11</v>
      </c>
      <c r="C22" s="19">
        <v>22</v>
      </c>
      <c r="D22" s="19" t="s">
        <v>738</v>
      </c>
      <c r="E22" s="108">
        <v>206856</v>
      </c>
      <c r="F22" s="109">
        <v>8.9999999999999998E-4</v>
      </c>
      <c r="G22" s="108">
        <v>206856</v>
      </c>
      <c r="H22" s="108">
        <v>206856</v>
      </c>
      <c r="I22" s="19"/>
    </row>
    <row r="23" spans="1:9" x14ac:dyDescent="0.25">
      <c r="A23" t="s">
        <v>104</v>
      </c>
      <c r="B23" t="s">
        <v>47</v>
      </c>
      <c r="C23">
        <v>25</v>
      </c>
      <c r="D23" t="s">
        <v>738</v>
      </c>
      <c r="E23" s="1">
        <v>171054</v>
      </c>
      <c r="F23" s="107">
        <v>6.9999999999999999E-4</v>
      </c>
      <c r="G23" s="1">
        <v>171054</v>
      </c>
      <c r="H23" s="1">
        <v>171054</v>
      </c>
    </row>
    <row r="24" spans="1:9" x14ac:dyDescent="0.25">
      <c r="A24" s="19" t="s">
        <v>198</v>
      </c>
      <c r="B24" s="19" t="s">
        <v>171</v>
      </c>
      <c r="C24" s="19">
        <v>27</v>
      </c>
      <c r="D24" s="19" t="s">
        <v>738</v>
      </c>
      <c r="E24" s="108">
        <v>171054</v>
      </c>
      <c r="F24" s="109">
        <v>6.9999999999999999E-4</v>
      </c>
      <c r="G24" s="108">
        <v>171054</v>
      </c>
      <c r="H24" s="108">
        <v>171054</v>
      </c>
      <c r="I24" s="19"/>
    </row>
    <row r="25" spans="1:9" x14ac:dyDescent="0.25">
      <c r="A25" t="s">
        <v>744</v>
      </c>
      <c r="B25" t="s">
        <v>74</v>
      </c>
      <c r="C25">
        <v>25</v>
      </c>
      <c r="D25" t="s">
        <v>738</v>
      </c>
      <c r="E25" s="1">
        <v>163098</v>
      </c>
      <c r="F25" s="107">
        <v>6.9999999999999999E-4</v>
      </c>
      <c r="G25" s="1">
        <v>163098</v>
      </c>
      <c r="H25" s="1">
        <v>163098</v>
      </c>
    </row>
    <row r="26" spans="1:9" x14ac:dyDescent="0.25">
      <c r="A26" s="19" t="s">
        <v>200</v>
      </c>
      <c r="B26" s="19" t="s">
        <v>171</v>
      </c>
      <c r="C26" s="19">
        <v>24</v>
      </c>
      <c r="D26" s="19" t="s">
        <v>738</v>
      </c>
      <c r="E26" s="108">
        <v>159120</v>
      </c>
      <c r="F26" s="109">
        <v>6.9999999999999999E-4</v>
      </c>
      <c r="G26" s="108">
        <v>159120</v>
      </c>
      <c r="H26" s="108">
        <v>159120</v>
      </c>
      <c r="I26" s="19"/>
    </row>
    <row r="27" spans="1:9" x14ac:dyDescent="0.25">
      <c r="A27" t="s">
        <v>745</v>
      </c>
      <c r="B27" t="s">
        <v>171</v>
      </c>
      <c r="C27">
        <v>22</v>
      </c>
      <c r="D27" t="s">
        <v>738</v>
      </c>
      <c r="E27" s="1">
        <v>111384</v>
      </c>
      <c r="F27" s="107">
        <v>5.0000000000000001E-4</v>
      </c>
      <c r="G27" s="1">
        <v>111384</v>
      </c>
      <c r="H27" s="1">
        <v>111384</v>
      </c>
    </row>
    <row r="28" spans="1:9" x14ac:dyDescent="0.25">
      <c r="A28" s="19" t="s">
        <v>746</v>
      </c>
      <c r="B28" s="19" t="s">
        <v>160</v>
      </c>
      <c r="C28" s="19">
        <v>24</v>
      </c>
      <c r="D28" s="19" t="s">
        <v>738</v>
      </c>
      <c r="E28" s="108">
        <v>83538</v>
      </c>
      <c r="F28" s="109">
        <v>4.0000000000000002E-4</v>
      </c>
      <c r="G28" s="108">
        <v>83538</v>
      </c>
      <c r="H28" s="108">
        <v>83538</v>
      </c>
      <c r="I28" s="19"/>
    </row>
    <row r="29" spans="1:9" x14ac:dyDescent="0.25">
      <c r="A29" t="s">
        <v>204</v>
      </c>
      <c r="B29" t="s">
        <v>160</v>
      </c>
      <c r="C29">
        <v>24</v>
      </c>
      <c r="D29" t="s">
        <v>738</v>
      </c>
      <c r="E29" s="1">
        <v>75582</v>
      </c>
      <c r="F29" s="107">
        <v>2.9999999999999997E-4</v>
      </c>
      <c r="G29" s="1">
        <v>75582</v>
      </c>
      <c r="H29" s="1">
        <v>75582</v>
      </c>
    </row>
    <row r="30" spans="1:9" x14ac:dyDescent="0.25">
      <c r="A30" s="19" t="s">
        <v>747</v>
      </c>
      <c r="B30" s="19" t="s">
        <v>160</v>
      </c>
      <c r="C30" s="19">
        <v>25</v>
      </c>
      <c r="D30" s="19" t="s">
        <v>738</v>
      </c>
      <c r="E30" s="108">
        <v>67626</v>
      </c>
      <c r="F30" s="109">
        <v>2.9999999999999997E-4</v>
      </c>
      <c r="G30" s="108">
        <v>67626</v>
      </c>
      <c r="H30" s="108">
        <v>67626</v>
      </c>
      <c r="I30" s="19"/>
    </row>
    <row r="31" spans="1:9" x14ac:dyDescent="0.25">
      <c r="A31" s="2" t="s">
        <v>212</v>
      </c>
      <c r="B31" s="2" t="s">
        <v>160</v>
      </c>
      <c r="C31" s="2">
        <v>33</v>
      </c>
      <c r="D31" s="2" t="s">
        <v>725</v>
      </c>
      <c r="E31" s="111">
        <v>3000000</v>
      </c>
      <c r="F31" s="112"/>
      <c r="G31" s="111">
        <v>3000000</v>
      </c>
      <c r="H31" s="111">
        <v>3000000</v>
      </c>
      <c r="I31" s="2">
        <v>2025</v>
      </c>
    </row>
    <row r="32" spans="1:9" x14ac:dyDescent="0.25">
      <c r="A32" s="2" t="s">
        <v>825</v>
      </c>
      <c r="B32" s="2" t="s">
        <v>35</v>
      </c>
      <c r="C32" s="2">
        <v>33</v>
      </c>
      <c r="D32" s="2" t="s">
        <v>725</v>
      </c>
      <c r="E32" s="111">
        <v>1240000</v>
      </c>
      <c r="F32" s="112"/>
      <c r="G32" s="111">
        <v>740000</v>
      </c>
      <c r="H32" s="111">
        <v>740000</v>
      </c>
      <c r="I32" s="2">
        <v>2026</v>
      </c>
    </row>
    <row r="33" spans="1:9" x14ac:dyDescent="0.25">
      <c r="A33" s="2" t="s">
        <v>202</v>
      </c>
      <c r="B33" s="2" t="s">
        <v>171</v>
      </c>
      <c r="C33" s="2">
        <v>32</v>
      </c>
      <c r="D33" s="2" t="s">
        <v>725</v>
      </c>
      <c r="E33" s="111">
        <v>850000</v>
      </c>
      <c r="F33" s="112"/>
      <c r="G33" s="111">
        <v>1500000</v>
      </c>
      <c r="H33" s="111">
        <v>1500000</v>
      </c>
      <c r="I33" s="2">
        <v>2025</v>
      </c>
    </row>
    <row r="34" spans="1:9" x14ac:dyDescent="0.25">
      <c r="A34" s="2" t="s">
        <v>826</v>
      </c>
      <c r="B34" s="2" t="s">
        <v>171</v>
      </c>
      <c r="C34" s="2">
        <v>29</v>
      </c>
      <c r="D34" s="2" t="s">
        <v>738</v>
      </c>
      <c r="E34" s="111">
        <v>759250</v>
      </c>
      <c r="F34" s="112"/>
      <c r="G34" s="111">
        <v>759250</v>
      </c>
      <c r="H34" s="111">
        <v>759250</v>
      </c>
      <c r="I34" s="2">
        <v>2028</v>
      </c>
    </row>
    <row r="35" spans="1:9" x14ac:dyDescent="0.25">
      <c r="A35" s="2" t="s">
        <v>827</v>
      </c>
      <c r="B35" s="2" t="s">
        <v>160</v>
      </c>
      <c r="C35" s="2">
        <v>30</v>
      </c>
      <c r="D35" s="2" t="s">
        <v>738</v>
      </c>
      <c r="E35" s="111">
        <v>745000</v>
      </c>
      <c r="F35" s="112"/>
      <c r="G35" s="111">
        <v>745000</v>
      </c>
      <c r="H35" s="111">
        <v>745000</v>
      </c>
      <c r="I35" s="2"/>
    </row>
    <row r="36" spans="1:9" x14ac:dyDescent="0.25">
      <c r="A36" s="2" t="s">
        <v>176</v>
      </c>
      <c r="B36" s="2" t="s">
        <v>171</v>
      </c>
      <c r="C36" s="2">
        <v>29</v>
      </c>
      <c r="D36" s="2" t="s">
        <v>738</v>
      </c>
      <c r="E36" s="111">
        <v>707350</v>
      </c>
      <c r="F36" s="112">
        <v>3.0000000000000001E-3</v>
      </c>
      <c r="G36" s="111">
        <v>707350</v>
      </c>
      <c r="H36" s="111">
        <v>707350</v>
      </c>
      <c r="I36" s="2">
        <v>2028</v>
      </c>
    </row>
    <row r="37" spans="1:9" x14ac:dyDescent="0.25">
      <c r="A37" s="2" t="s">
        <v>186</v>
      </c>
      <c r="B37" s="2" t="s">
        <v>160</v>
      </c>
      <c r="C37" s="2">
        <v>23</v>
      </c>
      <c r="D37" s="2" t="s">
        <v>738</v>
      </c>
      <c r="E37" s="111">
        <v>437580</v>
      </c>
      <c r="F37" s="112">
        <v>1.8E-3</v>
      </c>
      <c r="G37" s="111">
        <v>437580</v>
      </c>
      <c r="H37" s="111">
        <v>437580</v>
      </c>
      <c r="I37" s="2"/>
    </row>
    <row r="38" spans="1:9" x14ac:dyDescent="0.25">
      <c r="A38" s="2" t="s">
        <v>828</v>
      </c>
      <c r="B38" s="2" t="s">
        <v>11</v>
      </c>
      <c r="C38" s="2">
        <v>23</v>
      </c>
      <c r="D38" s="2" t="s">
        <v>738</v>
      </c>
      <c r="E38" s="111">
        <v>286416</v>
      </c>
      <c r="F38" s="112">
        <v>1.1999999999999999E-3</v>
      </c>
      <c r="G38" s="111">
        <v>286416</v>
      </c>
      <c r="H38" s="111">
        <v>286416</v>
      </c>
      <c r="I38" s="2"/>
    </row>
    <row r="39" spans="1:9" x14ac:dyDescent="0.25">
      <c r="A39" s="113" t="s">
        <v>220</v>
      </c>
      <c r="B39" s="113" t="s">
        <v>171</v>
      </c>
      <c r="C39" s="113">
        <v>29</v>
      </c>
      <c r="D39" s="113" t="s">
        <v>727</v>
      </c>
      <c r="E39" s="114">
        <v>108864</v>
      </c>
      <c r="F39" s="115">
        <v>5.0000000000000001E-4</v>
      </c>
      <c r="G39" s="114">
        <v>108864</v>
      </c>
      <c r="H39" s="114">
        <v>108864</v>
      </c>
      <c r="I39" s="113">
        <v>2027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DA7E3C-9B93-4E12-82DA-041CA3B55611}">
  <sheetPr codeName="Sheet4"/>
  <dimension ref="A1:AK25"/>
  <sheetViews>
    <sheetView topLeftCell="T1" workbookViewId="0">
      <selection activeCell="A2" sqref="A2:AK25"/>
    </sheetView>
  </sheetViews>
  <sheetFormatPr defaultRowHeight="15" x14ac:dyDescent="0.25"/>
  <cols>
    <col min="1" max="1" width="5.28515625" bestFit="1" customWidth="1"/>
    <col min="2" max="2" width="18.140625" bestFit="1" customWidth="1"/>
    <col min="3" max="4" width="6.140625" bestFit="1" customWidth="1"/>
    <col min="5" max="5" width="7" bestFit="1" customWidth="1"/>
    <col min="6" max="6" width="4.42578125" bestFit="1" customWidth="1"/>
    <col min="7" max="8" width="5.28515625" bestFit="1" customWidth="1"/>
    <col min="9" max="9" width="4.28515625" bestFit="1" customWidth="1"/>
    <col min="10" max="10" width="4.42578125" bestFit="1" customWidth="1"/>
    <col min="11" max="12" width="5.140625" bestFit="1" customWidth="1"/>
    <col min="13" max="13" width="5.5703125" bestFit="1" customWidth="1"/>
    <col min="14" max="14" width="5.85546875" bestFit="1" customWidth="1"/>
    <col min="15" max="15" width="5.28515625" bestFit="1" customWidth="1"/>
    <col min="16" max="16" width="5.42578125" bestFit="1" customWidth="1"/>
    <col min="17" max="17" width="5.28515625" bestFit="1" customWidth="1"/>
    <col min="18" max="18" width="5.42578125" bestFit="1" customWidth="1"/>
    <col min="19" max="19" width="5.85546875" bestFit="1" customWidth="1"/>
    <col min="20" max="20" width="6.5703125" bestFit="1" customWidth="1"/>
    <col min="21" max="21" width="6.42578125" bestFit="1" customWidth="1"/>
    <col min="22" max="22" width="6.5703125" bestFit="1" customWidth="1"/>
    <col min="23" max="23" width="7.5703125" bestFit="1" customWidth="1"/>
    <col min="24" max="24" width="7.140625" bestFit="1" customWidth="1"/>
    <col min="25" max="25" width="8" bestFit="1" customWidth="1"/>
    <col min="26" max="26" width="5.140625" bestFit="1" customWidth="1"/>
    <col min="27" max="27" width="7.28515625" bestFit="1" customWidth="1"/>
    <col min="28" max="28" width="6.5703125" bestFit="1" customWidth="1"/>
    <col min="29" max="29" width="5.42578125" bestFit="1" customWidth="1"/>
    <col min="30" max="30" width="5.140625" bestFit="1" customWidth="1"/>
    <col min="31" max="31" width="5.85546875" bestFit="1" customWidth="1"/>
    <col min="32" max="32" width="11" bestFit="1" customWidth="1"/>
    <col min="33" max="33" width="10.140625" bestFit="1" customWidth="1"/>
    <col min="34" max="34" width="17.5703125" bestFit="1" customWidth="1"/>
    <col min="35" max="35" width="24" bestFit="1" customWidth="1"/>
    <col min="37" max="37" width="14" style="1" bestFit="1" customWidth="1"/>
  </cols>
  <sheetData>
    <row r="1" spans="1:37" x14ac:dyDescent="0.25">
      <c r="A1" s="84" t="s">
        <v>0</v>
      </c>
      <c r="B1" s="84" t="s">
        <v>1</v>
      </c>
      <c r="C1" s="84" t="s">
        <v>2</v>
      </c>
      <c r="D1" s="84" t="s">
        <v>3</v>
      </c>
      <c r="E1" s="84" t="s">
        <v>4</v>
      </c>
      <c r="F1" s="84" t="s">
        <v>5</v>
      </c>
      <c r="G1" s="84" t="s">
        <v>6</v>
      </c>
      <c r="H1" s="84" t="s">
        <v>7</v>
      </c>
      <c r="I1" s="84" t="s">
        <v>8</v>
      </c>
      <c r="J1" s="84" t="s">
        <v>9</v>
      </c>
      <c r="K1" s="84" t="s">
        <v>10</v>
      </c>
      <c r="L1" s="84" t="s">
        <v>11</v>
      </c>
      <c r="M1" s="84" t="s">
        <v>12</v>
      </c>
      <c r="N1" s="84" t="s">
        <v>13</v>
      </c>
      <c r="O1" s="84" t="s">
        <v>14</v>
      </c>
      <c r="P1" s="84" t="s">
        <v>15</v>
      </c>
      <c r="Q1" s="84" t="s">
        <v>16</v>
      </c>
      <c r="R1" s="84" t="s">
        <v>17</v>
      </c>
      <c r="S1" s="84" t="s">
        <v>18</v>
      </c>
      <c r="T1" s="84" t="s">
        <v>19</v>
      </c>
      <c r="U1" s="84" t="s">
        <v>20</v>
      </c>
      <c r="V1" s="84" t="s">
        <v>21</v>
      </c>
      <c r="W1" s="84" t="s">
        <v>22</v>
      </c>
      <c r="X1" s="84" t="s">
        <v>23</v>
      </c>
      <c r="Y1" s="84" t="s">
        <v>24</v>
      </c>
      <c r="Z1" s="84" t="s">
        <v>25</v>
      </c>
      <c r="AA1" s="84" t="s">
        <v>26</v>
      </c>
      <c r="AB1" s="84" t="s">
        <v>27</v>
      </c>
      <c r="AC1" s="84" t="s">
        <v>28</v>
      </c>
      <c r="AD1" s="84" t="s">
        <v>29</v>
      </c>
      <c r="AE1" s="84" t="s">
        <v>30</v>
      </c>
      <c r="AF1" s="84" t="s">
        <v>31</v>
      </c>
      <c r="AG1" s="84" t="s">
        <v>32</v>
      </c>
      <c r="AH1" s="84" t="s">
        <v>33</v>
      </c>
      <c r="AI1" s="84" t="s">
        <v>836</v>
      </c>
      <c r="AJ1" s="84" t="s">
        <v>817</v>
      </c>
      <c r="AK1" s="100" t="s">
        <v>840</v>
      </c>
    </row>
    <row r="2" spans="1:37" x14ac:dyDescent="0.25">
      <c r="A2" s="85">
        <v>1</v>
      </c>
      <c r="B2" s="85" t="s">
        <v>229</v>
      </c>
      <c r="C2" s="85">
        <v>24</v>
      </c>
      <c r="D2" s="85" t="s">
        <v>35</v>
      </c>
      <c r="E2" s="85">
        <v>0.7</v>
      </c>
      <c r="F2" s="85">
        <v>123</v>
      </c>
      <c r="G2" s="85">
        <v>389</v>
      </c>
      <c r="H2" s="85">
        <v>354</v>
      </c>
      <c r="I2" s="85">
        <v>39</v>
      </c>
      <c r="J2" s="85">
        <v>71</v>
      </c>
      <c r="K2" s="85">
        <v>10</v>
      </c>
      <c r="L2" s="85">
        <v>2</v>
      </c>
      <c r="M2" s="85">
        <v>13</v>
      </c>
      <c r="N2" s="85">
        <v>39</v>
      </c>
      <c r="O2" s="85">
        <v>6</v>
      </c>
      <c r="P2" s="85">
        <v>3</v>
      </c>
      <c r="Q2" s="85">
        <v>29</v>
      </c>
      <c r="R2" s="85">
        <v>122</v>
      </c>
      <c r="S2" s="85">
        <v>0.20100000000000001</v>
      </c>
      <c r="T2" s="85">
        <v>0.26400000000000001</v>
      </c>
      <c r="U2" s="85">
        <v>0.35</v>
      </c>
      <c r="V2" s="85">
        <v>0.61399999999999999</v>
      </c>
      <c r="W2" s="85">
        <v>73</v>
      </c>
      <c r="X2" s="85">
        <v>0.27200000000000002</v>
      </c>
      <c r="Y2" s="85">
        <v>71</v>
      </c>
      <c r="Z2" s="85">
        <v>124</v>
      </c>
      <c r="AA2" s="85">
        <v>3</v>
      </c>
      <c r="AB2" s="85">
        <v>2</v>
      </c>
      <c r="AC2" s="85">
        <v>2</v>
      </c>
      <c r="AD2" s="85">
        <v>2</v>
      </c>
      <c r="AE2" s="85">
        <v>1</v>
      </c>
      <c r="AF2" s="85" t="s">
        <v>36</v>
      </c>
      <c r="AG2" s="85" t="s">
        <v>37</v>
      </c>
      <c r="AH2" s="85" t="s">
        <v>230</v>
      </c>
      <c r="AI2" s="85" t="s">
        <v>837</v>
      </c>
      <c r="AJ2" s="85" t="s">
        <v>821</v>
      </c>
      <c r="AK2" s="101">
        <f>IFERROR(VLOOKUP(B2,'CLE Salary 2024'!A1:I33,7,FALSE), "No salary data")</f>
        <v>742100</v>
      </c>
    </row>
    <row r="3" spans="1:37" x14ac:dyDescent="0.25">
      <c r="A3" s="4">
        <v>2</v>
      </c>
      <c r="B3" s="4" t="s">
        <v>231</v>
      </c>
      <c r="C3" s="4">
        <v>27</v>
      </c>
      <c r="D3" s="4" t="s">
        <v>40</v>
      </c>
      <c r="E3" s="4">
        <v>1.5</v>
      </c>
      <c r="F3" s="4">
        <v>152</v>
      </c>
      <c r="G3" s="4">
        <v>633</v>
      </c>
      <c r="H3" s="4">
        <v>563</v>
      </c>
      <c r="I3" s="4">
        <v>84</v>
      </c>
      <c r="J3" s="4">
        <v>137</v>
      </c>
      <c r="K3" s="4">
        <v>27</v>
      </c>
      <c r="L3" s="4">
        <v>0</v>
      </c>
      <c r="M3" s="4">
        <v>31</v>
      </c>
      <c r="N3" s="4">
        <v>108</v>
      </c>
      <c r="O3" s="4">
        <v>6</v>
      </c>
      <c r="P3" s="4">
        <v>2</v>
      </c>
      <c r="Q3" s="4">
        <v>58</v>
      </c>
      <c r="R3" s="4">
        <v>105</v>
      </c>
      <c r="S3" s="4">
        <v>0.24299999999999999</v>
      </c>
      <c r="T3" s="4">
        <v>0.32</v>
      </c>
      <c r="U3" s="4">
        <v>0.45600000000000002</v>
      </c>
      <c r="V3" s="4">
        <v>0.77600000000000002</v>
      </c>
      <c r="W3" s="4">
        <v>118</v>
      </c>
      <c r="X3" s="4">
        <v>0.33600000000000002</v>
      </c>
      <c r="Y3" s="4">
        <v>117</v>
      </c>
      <c r="Z3" s="4">
        <v>257</v>
      </c>
      <c r="AA3" s="4">
        <v>17</v>
      </c>
      <c r="AB3" s="4">
        <v>7</v>
      </c>
      <c r="AC3" s="4">
        <v>0</v>
      </c>
      <c r="AD3" s="4">
        <v>4</v>
      </c>
      <c r="AE3" s="4">
        <v>7</v>
      </c>
      <c r="AF3" s="4" t="s">
        <v>41</v>
      </c>
      <c r="AG3" s="4" t="s">
        <v>163</v>
      </c>
      <c r="AH3" s="4" t="s">
        <v>232</v>
      </c>
      <c r="AI3" s="4" t="s">
        <v>837</v>
      </c>
      <c r="AJ3" s="4" t="s">
        <v>821</v>
      </c>
      <c r="AK3" s="89">
        <f>IFERROR(VLOOKUP(B3,'CLE Salary 2024'!A2:I34,7,FALSE), "No salary data")</f>
        <v>6500000</v>
      </c>
    </row>
    <row r="4" spans="1:37" x14ac:dyDescent="0.25">
      <c r="A4" s="3">
        <v>3</v>
      </c>
      <c r="B4" s="3" t="s">
        <v>233</v>
      </c>
      <c r="C4" s="3">
        <v>25</v>
      </c>
      <c r="D4" s="3" t="s">
        <v>10</v>
      </c>
      <c r="E4" s="3">
        <v>4</v>
      </c>
      <c r="F4" s="3">
        <v>152</v>
      </c>
      <c r="G4" s="3">
        <v>633</v>
      </c>
      <c r="H4" s="3">
        <v>583</v>
      </c>
      <c r="I4" s="3">
        <v>64</v>
      </c>
      <c r="J4" s="3">
        <v>147</v>
      </c>
      <c r="K4" s="3">
        <v>22</v>
      </c>
      <c r="L4" s="3">
        <v>1</v>
      </c>
      <c r="M4" s="3">
        <v>9</v>
      </c>
      <c r="N4" s="3">
        <v>63</v>
      </c>
      <c r="O4" s="3">
        <v>30</v>
      </c>
      <c r="P4" s="3">
        <v>5</v>
      </c>
      <c r="Q4" s="3">
        <v>26</v>
      </c>
      <c r="R4" s="3">
        <v>97</v>
      </c>
      <c r="S4" s="3">
        <v>0.252</v>
      </c>
      <c r="T4" s="3">
        <v>0.29799999999999999</v>
      </c>
      <c r="U4" s="3">
        <v>0.34</v>
      </c>
      <c r="V4" s="3">
        <v>0.63800000000000001</v>
      </c>
      <c r="W4" s="3">
        <v>82</v>
      </c>
      <c r="X4" s="3">
        <v>0.29399999999999998</v>
      </c>
      <c r="Y4" s="3">
        <v>81</v>
      </c>
      <c r="Z4" s="3">
        <v>198</v>
      </c>
      <c r="AA4" s="3">
        <v>11</v>
      </c>
      <c r="AB4" s="3">
        <v>15</v>
      </c>
      <c r="AC4" s="3">
        <v>3</v>
      </c>
      <c r="AD4" s="3">
        <v>6</v>
      </c>
      <c r="AE4" s="3">
        <v>1</v>
      </c>
      <c r="AF4" s="3" t="s">
        <v>234</v>
      </c>
      <c r="AG4" s="3" t="s">
        <v>235</v>
      </c>
      <c r="AH4" s="3" t="s">
        <v>236</v>
      </c>
      <c r="AI4" s="3" t="s">
        <v>837</v>
      </c>
      <c r="AJ4" s="3" t="s">
        <v>821</v>
      </c>
      <c r="AK4" s="91" t="str">
        <f>IFERROR(VLOOKUP(B4,'CLE Salary 2024'!A3:I35,7,FALSE), "No salary data")</f>
        <v>No salary data</v>
      </c>
    </row>
    <row r="5" spans="1:37" x14ac:dyDescent="0.25">
      <c r="A5" s="4">
        <v>4</v>
      </c>
      <c r="B5" s="4" t="s">
        <v>237</v>
      </c>
      <c r="C5" s="4">
        <v>23</v>
      </c>
      <c r="D5" s="4" t="s">
        <v>47</v>
      </c>
      <c r="E5" s="4">
        <v>1.9</v>
      </c>
      <c r="F5" s="4">
        <v>143</v>
      </c>
      <c r="G5" s="4">
        <v>442</v>
      </c>
      <c r="H5" s="4">
        <v>383</v>
      </c>
      <c r="I5" s="4">
        <v>50</v>
      </c>
      <c r="J5" s="4">
        <v>79</v>
      </c>
      <c r="K5" s="4">
        <v>18</v>
      </c>
      <c r="L5" s="4">
        <v>0</v>
      </c>
      <c r="M5" s="4">
        <v>8</v>
      </c>
      <c r="N5" s="4">
        <v>36</v>
      </c>
      <c r="O5" s="4">
        <v>10</v>
      </c>
      <c r="P5" s="4">
        <v>6</v>
      </c>
      <c r="Q5" s="4">
        <v>44</v>
      </c>
      <c r="R5" s="4">
        <v>90</v>
      </c>
      <c r="S5" s="4">
        <v>0.20599999999999999</v>
      </c>
      <c r="T5" s="4">
        <v>0.29799999999999999</v>
      </c>
      <c r="U5" s="4">
        <v>0.316</v>
      </c>
      <c r="V5" s="4">
        <v>0.61399999999999999</v>
      </c>
      <c r="W5" s="4">
        <v>76</v>
      </c>
      <c r="X5" s="4">
        <v>0.28100000000000003</v>
      </c>
      <c r="Y5" s="4">
        <v>78</v>
      </c>
      <c r="Z5" s="4">
        <v>121</v>
      </c>
      <c r="AA5" s="4">
        <v>11</v>
      </c>
      <c r="AB5" s="4">
        <v>8</v>
      </c>
      <c r="AC5" s="4">
        <v>2</v>
      </c>
      <c r="AD5" s="4">
        <v>5</v>
      </c>
      <c r="AE5" s="4">
        <v>1</v>
      </c>
      <c r="AF5" s="4" t="s">
        <v>238</v>
      </c>
      <c r="AG5" s="4" t="s">
        <v>37</v>
      </c>
      <c r="AH5" s="4" t="s">
        <v>239</v>
      </c>
      <c r="AI5" s="4" t="s">
        <v>837</v>
      </c>
      <c r="AJ5" s="4" t="s">
        <v>821</v>
      </c>
      <c r="AK5" s="89" t="str">
        <f>IFERROR(VLOOKUP(B5,'CLE Salary 2024'!A4:I36,7,FALSE), "No salary data")</f>
        <v>No salary data</v>
      </c>
    </row>
    <row r="6" spans="1:37" x14ac:dyDescent="0.25">
      <c r="A6" s="3">
        <v>5</v>
      </c>
      <c r="B6" s="3" t="s">
        <v>240</v>
      </c>
      <c r="C6" s="3">
        <v>31</v>
      </c>
      <c r="D6" s="3" t="s">
        <v>11</v>
      </c>
      <c r="E6" s="3">
        <v>6.8</v>
      </c>
      <c r="F6" s="3">
        <v>158</v>
      </c>
      <c r="G6" s="3">
        <v>682</v>
      </c>
      <c r="H6" s="3">
        <v>620</v>
      </c>
      <c r="I6" s="3">
        <v>114</v>
      </c>
      <c r="J6" s="3">
        <v>173</v>
      </c>
      <c r="K6" s="3">
        <v>39</v>
      </c>
      <c r="L6" s="3">
        <v>2</v>
      </c>
      <c r="M6" s="3">
        <v>39</v>
      </c>
      <c r="N6" s="3">
        <v>118</v>
      </c>
      <c r="O6" s="3">
        <v>41</v>
      </c>
      <c r="P6" s="3">
        <v>7</v>
      </c>
      <c r="Q6" s="3">
        <v>54</v>
      </c>
      <c r="R6" s="3">
        <v>82</v>
      </c>
      <c r="S6" s="3">
        <v>0.27900000000000003</v>
      </c>
      <c r="T6" s="3">
        <v>0.33500000000000002</v>
      </c>
      <c r="U6" s="3">
        <v>0.53700000000000003</v>
      </c>
      <c r="V6" s="3">
        <v>0.872</v>
      </c>
      <c r="W6" s="3">
        <v>143</v>
      </c>
      <c r="X6" s="3">
        <v>0.376</v>
      </c>
      <c r="Y6" s="3">
        <v>140</v>
      </c>
      <c r="Z6" s="3">
        <v>333</v>
      </c>
      <c r="AA6" s="3">
        <v>9</v>
      </c>
      <c r="AB6" s="3">
        <v>1</v>
      </c>
      <c r="AC6" s="3">
        <v>0</v>
      </c>
      <c r="AD6" s="3">
        <v>6</v>
      </c>
      <c r="AE6" s="3">
        <v>12</v>
      </c>
      <c r="AF6" s="3" t="s">
        <v>241</v>
      </c>
      <c r="AG6" s="3" t="s">
        <v>242</v>
      </c>
      <c r="AH6" s="3" t="s">
        <v>243</v>
      </c>
      <c r="AI6" s="3" t="s">
        <v>837</v>
      </c>
      <c r="AJ6" s="3" t="s">
        <v>821</v>
      </c>
      <c r="AK6" s="91" t="str">
        <f>IFERROR(VLOOKUP(B6,'CLE Salary 2024'!A5:I37,7,FALSE), "No salary data")</f>
        <v>No salary data</v>
      </c>
    </row>
    <row r="7" spans="1:37" x14ac:dyDescent="0.25">
      <c r="A7" s="4">
        <v>6</v>
      </c>
      <c r="B7" s="4" t="s">
        <v>244</v>
      </c>
      <c r="C7" s="4">
        <v>26</v>
      </c>
      <c r="D7" s="4" t="s">
        <v>54</v>
      </c>
      <c r="E7" s="4">
        <v>4</v>
      </c>
      <c r="F7" s="4">
        <v>122</v>
      </c>
      <c r="G7" s="4">
        <v>540</v>
      </c>
      <c r="H7" s="4">
        <v>480</v>
      </c>
      <c r="I7" s="4">
        <v>83</v>
      </c>
      <c r="J7" s="4">
        <v>140</v>
      </c>
      <c r="K7" s="4">
        <v>16</v>
      </c>
      <c r="L7" s="4">
        <v>3</v>
      </c>
      <c r="M7" s="4">
        <v>14</v>
      </c>
      <c r="N7" s="4">
        <v>44</v>
      </c>
      <c r="O7" s="4">
        <v>12</v>
      </c>
      <c r="P7" s="4">
        <v>5</v>
      </c>
      <c r="Q7" s="4">
        <v>53</v>
      </c>
      <c r="R7" s="4">
        <v>51</v>
      </c>
      <c r="S7" s="4">
        <v>0.29199999999999998</v>
      </c>
      <c r="T7" s="4">
        <v>0.36799999999999999</v>
      </c>
      <c r="U7" s="4">
        <v>0.42499999999999999</v>
      </c>
      <c r="V7" s="4">
        <v>0.79300000000000004</v>
      </c>
      <c r="W7" s="4">
        <v>126</v>
      </c>
      <c r="X7" s="4">
        <v>0.35199999999999998</v>
      </c>
      <c r="Y7" s="4">
        <v>128</v>
      </c>
      <c r="Z7" s="4">
        <v>204</v>
      </c>
      <c r="AA7" s="4">
        <v>5</v>
      </c>
      <c r="AB7" s="4">
        <v>5</v>
      </c>
      <c r="AC7" s="4">
        <v>2</v>
      </c>
      <c r="AD7" s="4">
        <v>0</v>
      </c>
      <c r="AE7" s="4">
        <v>0</v>
      </c>
      <c r="AF7" s="4" t="s">
        <v>245</v>
      </c>
      <c r="AG7" s="4" t="s">
        <v>246</v>
      </c>
      <c r="AH7" s="4" t="s">
        <v>247</v>
      </c>
      <c r="AI7" s="4" t="s">
        <v>837</v>
      </c>
      <c r="AJ7" s="4" t="s">
        <v>821</v>
      </c>
      <c r="AK7" s="89">
        <f>IFERROR(VLOOKUP(B7,'CLE Salary 2024'!A6:I38,7,FALSE), "No salary data")</f>
        <v>1313153</v>
      </c>
    </row>
    <row r="8" spans="1:37" x14ac:dyDescent="0.25">
      <c r="A8" s="3">
        <v>7</v>
      </c>
      <c r="B8" s="3" t="s">
        <v>248</v>
      </c>
      <c r="C8" s="3">
        <v>25</v>
      </c>
      <c r="D8" s="3" t="s">
        <v>58</v>
      </c>
      <c r="E8" s="3">
        <v>0.9</v>
      </c>
      <c r="F8" s="3">
        <v>118</v>
      </c>
      <c r="G8" s="3">
        <v>383</v>
      </c>
      <c r="H8" s="3">
        <v>330</v>
      </c>
      <c r="I8" s="3">
        <v>48</v>
      </c>
      <c r="J8" s="3">
        <v>69</v>
      </c>
      <c r="K8" s="3">
        <v>14</v>
      </c>
      <c r="L8" s="3">
        <v>1</v>
      </c>
      <c r="M8" s="3">
        <v>7</v>
      </c>
      <c r="N8" s="3">
        <v>32</v>
      </c>
      <c r="O8" s="3">
        <v>11</v>
      </c>
      <c r="P8" s="3">
        <v>6</v>
      </c>
      <c r="Q8" s="3">
        <v>28</v>
      </c>
      <c r="R8" s="3">
        <v>53</v>
      </c>
      <c r="S8" s="3">
        <v>0.20899999999999999</v>
      </c>
      <c r="T8" s="3">
        <v>0.30499999999999999</v>
      </c>
      <c r="U8" s="3">
        <v>0.32100000000000001</v>
      </c>
      <c r="V8" s="3">
        <v>0.626</v>
      </c>
      <c r="W8" s="3">
        <v>79</v>
      </c>
      <c r="X8" s="3">
        <v>0.28799999999999998</v>
      </c>
      <c r="Y8" s="3">
        <v>83</v>
      </c>
      <c r="Z8" s="3">
        <v>106</v>
      </c>
      <c r="AA8" s="3">
        <v>15</v>
      </c>
      <c r="AB8" s="3">
        <v>19</v>
      </c>
      <c r="AC8" s="3">
        <v>3</v>
      </c>
      <c r="AD8" s="3">
        <v>3</v>
      </c>
      <c r="AE8" s="3">
        <v>1</v>
      </c>
      <c r="AF8" s="3" t="s">
        <v>249</v>
      </c>
      <c r="AG8" s="3" t="s">
        <v>37</v>
      </c>
      <c r="AH8" s="3" t="s">
        <v>250</v>
      </c>
      <c r="AI8" s="3" t="s">
        <v>837</v>
      </c>
      <c r="AJ8" s="3" t="s">
        <v>821</v>
      </c>
      <c r="AK8" s="91" t="str">
        <f>IFERROR(VLOOKUP(B8,'CLE Salary 2024'!A7:I39,7,FALSE), "No salary data")</f>
        <v>No salary data</v>
      </c>
    </row>
    <row r="9" spans="1:37" x14ac:dyDescent="0.25">
      <c r="A9" s="4">
        <v>8</v>
      </c>
      <c r="B9" s="4" t="s">
        <v>251</v>
      </c>
      <c r="C9" s="4">
        <v>26</v>
      </c>
      <c r="D9" s="4" t="s">
        <v>62</v>
      </c>
      <c r="E9" s="4">
        <v>-0.2</v>
      </c>
      <c r="F9" s="4">
        <v>114</v>
      </c>
      <c r="G9" s="4">
        <v>353</v>
      </c>
      <c r="H9" s="4">
        <v>330</v>
      </c>
      <c r="I9" s="4">
        <v>37</v>
      </c>
      <c r="J9" s="4">
        <v>87</v>
      </c>
      <c r="K9" s="4">
        <v>13</v>
      </c>
      <c r="L9" s="4">
        <v>2</v>
      </c>
      <c r="M9" s="4">
        <v>8</v>
      </c>
      <c r="N9" s="4">
        <v>30</v>
      </c>
      <c r="O9" s="4">
        <v>4</v>
      </c>
      <c r="P9" s="4">
        <v>2</v>
      </c>
      <c r="Q9" s="4">
        <v>19</v>
      </c>
      <c r="R9" s="4">
        <v>48</v>
      </c>
      <c r="S9" s="4">
        <v>0.26400000000000001</v>
      </c>
      <c r="T9" s="4">
        <v>0.309</v>
      </c>
      <c r="U9" s="4">
        <v>0.38800000000000001</v>
      </c>
      <c r="V9" s="4">
        <v>0.69699999999999995</v>
      </c>
      <c r="W9" s="4">
        <v>97</v>
      </c>
      <c r="X9" s="4">
        <v>0.307</v>
      </c>
      <c r="Y9" s="4">
        <v>96</v>
      </c>
      <c r="Z9" s="4">
        <v>128</v>
      </c>
      <c r="AA9" s="4">
        <v>9</v>
      </c>
      <c r="AB9" s="4">
        <v>3</v>
      </c>
      <c r="AC9" s="4">
        <v>0</v>
      </c>
      <c r="AD9" s="4">
        <v>1</v>
      </c>
      <c r="AE9" s="4">
        <v>2</v>
      </c>
      <c r="AF9" s="4" t="s">
        <v>252</v>
      </c>
      <c r="AG9" s="4" t="s">
        <v>37</v>
      </c>
      <c r="AH9" s="4" t="s">
        <v>253</v>
      </c>
      <c r="AI9" s="4" t="s">
        <v>837</v>
      </c>
      <c r="AJ9" s="4" t="s">
        <v>821</v>
      </c>
      <c r="AK9" s="89">
        <f>IFERROR(VLOOKUP(B9,'CLE Salary 2024'!A8:I40,7,FALSE), "No salary data")</f>
        <v>776970</v>
      </c>
    </row>
    <row r="10" spans="1:37" x14ac:dyDescent="0.25">
      <c r="A10" s="3">
        <v>9</v>
      </c>
      <c r="B10" s="3" t="s">
        <v>254</v>
      </c>
      <c r="C10" s="3">
        <v>28</v>
      </c>
      <c r="D10" s="3" t="s">
        <v>66</v>
      </c>
      <c r="E10" s="3">
        <v>1.4</v>
      </c>
      <c r="F10" s="3">
        <v>122</v>
      </c>
      <c r="G10" s="3">
        <v>392</v>
      </c>
      <c r="H10" s="3">
        <v>335</v>
      </c>
      <c r="I10" s="3">
        <v>44</v>
      </c>
      <c r="J10" s="3">
        <v>88</v>
      </c>
      <c r="K10" s="3">
        <v>18</v>
      </c>
      <c r="L10" s="3">
        <v>1</v>
      </c>
      <c r="M10" s="3">
        <v>14</v>
      </c>
      <c r="N10" s="3">
        <v>51</v>
      </c>
      <c r="O10" s="3">
        <v>4</v>
      </c>
      <c r="P10" s="3">
        <v>1</v>
      </c>
      <c r="Q10" s="3">
        <v>42</v>
      </c>
      <c r="R10" s="3">
        <v>84</v>
      </c>
      <c r="S10" s="3">
        <v>0.26300000000000001</v>
      </c>
      <c r="T10" s="3">
        <v>0.35599999999999998</v>
      </c>
      <c r="U10" s="3">
        <v>0.44800000000000001</v>
      </c>
      <c r="V10" s="3">
        <v>0.80400000000000005</v>
      </c>
      <c r="W10" s="3">
        <v>128</v>
      </c>
      <c r="X10" s="3">
        <v>0.35199999999999998</v>
      </c>
      <c r="Y10" s="3">
        <v>128</v>
      </c>
      <c r="Z10" s="3">
        <v>150</v>
      </c>
      <c r="AA10" s="3">
        <v>13</v>
      </c>
      <c r="AB10" s="3">
        <v>9</v>
      </c>
      <c r="AC10" s="3">
        <v>0</v>
      </c>
      <c r="AD10" s="3">
        <v>4</v>
      </c>
      <c r="AE10" s="3">
        <v>4</v>
      </c>
      <c r="AF10" s="3" t="s">
        <v>255</v>
      </c>
      <c r="AG10" s="3" t="s">
        <v>163</v>
      </c>
      <c r="AH10" s="3" t="s">
        <v>256</v>
      </c>
      <c r="AI10" s="3" t="s">
        <v>837</v>
      </c>
      <c r="AJ10" s="3" t="s">
        <v>821</v>
      </c>
      <c r="AK10" s="91" t="str">
        <f>IFERROR(VLOOKUP(B10,'CLE Salary 2024'!A9:I41,7,FALSE), "No salary data")</f>
        <v>No salary data</v>
      </c>
    </row>
    <row r="11" spans="1:37" x14ac:dyDescent="0.25">
      <c r="A11" s="4">
        <v>10</v>
      </c>
      <c r="B11" s="4" t="s">
        <v>257</v>
      </c>
      <c r="C11" s="4">
        <v>27</v>
      </c>
      <c r="D11" s="4" t="s">
        <v>70</v>
      </c>
      <c r="E11" s="4">
        <v>0.7</v>
      </c>
      <c r="F11" s="4">
        <v>73</v>
      </c>
      <c r="G11" s="4">
        <v>221</v>
      </c>
      <c r="H11" s="4">
        <v>193</v>
      </c>
      <c r="I11" s="4">
        <v>17</v>
      </c>
      <c r="J11" s="4">
        <v>42</v>
      </c>
      <c r="K11" s="4">
        <v>10</v>
      </c>
      <c r="L11" s="4">
        <v>2</v>
      </c>
      <c r="M11" s="4">
        <v>5</v>
      </c>
      <c r="N11" s="4">
        <v>22</v>
      </c>
      <c r="O11" s="4">
        <v>3</v>
      </c>
      <c r="P11" s="4">
        <v>2</v>
      </c>
      <c r="Q11" s="4">
        <v>25</v>
      </c>
      <c r="R11" s="4">
        <v>70</v>
      </c>
      <c r="S11" s="4">
        <v>0.218</v>
      </c>
      <c r="T11" s="4">
        <v>0.30299999999999999</v>
      </c>
      <c r="U11" s="4">
        <v>0.36799999999999999</v>
      </c>
      <c r="V11" s="4">
        <v>0.67100000000000004</v>
      </c>
      <c r="W11" s="4">
        <v>91</v>
      </c>
      <c r="X11" s="4">
        <v>0.29699999999999999</v>
      </c>
      <c r="Y11" s="4">
        <v>90</v>
      </c>
      <c r="Z11" s="4">
        <v>71</v>
      </c>
      <c r="AA11" s="4">
        <v>1</v>
      </c>
      <c r="AB11" s="4">
        <v>0</v>
      </c>
      <c r="AC11" s="4">
        <v>0</v>
      </c>
      <c r="AD11" s="4">
        <v>3</v>
      </c>
      <c r="AE11" s="4">
        <v>0</v>
      </c>
      <c r="AF11" s="4" t="s">
        <v>258</v>
      </c>
      <c r="AG11" s="4" t="s">
        <v>37</v>
      </c>
      <c r="AH11" s="4" t="s">
        <v>259</v>
      </c>
      <c r="AI11" s="4" t="s">
        <v>837</v>
      </c>
      <c r="AJ11" s="4" t="s">
        <v>821</v>
      </c>
      <c r="AK11" s="89">
        <f>IFERROR(VLOOKUP(B11,'CLE Salary 2024'!A10:I42,7,FALSE), "No salary data")</f>
        <v>740000</v>
      </c>
    </row>
    <row r="12" spans="1:37" x14ac:dyDescent="0.25">
      <c r="A12" s="3">
        <v>11</v>
      </c>
      <c r="B12" s="3" t="s">
        <v>260</v>
      </c>
      <c r="C12" s="3">
        <v>22</v>
      </c>
      <c r="D12" s="3" t="s">
        <v>62</v>
      </c>
      <c r="E12" s="3">
        <v>1</v>
      </c>
      <c r="F12" s="3">
        <v>67</v>
      </c>
      <c r="G12" s="3">
        <v>198</v>
      </c>
      <c r="H12" s="3">
        <v>179</v>
      </c>
      <c r="I12" s="3">
        <v>25</v>
      </c>
      <c r="J12" s="3">
        <v>39</v>
      </c>
      <c r="K12" s="3">
        <v>7</v>
      </c>
      <c r="L12" s="3">
        <v>1</v>
      </c>
      <c r="M12" s="3">
        <v>13</v>
      </c>
      <c r="N12" s="3">
        <v>28</v>
      </c>
      <c r="O12" s="3">
        <v>0</v>
      </c>
      <c r="P12" s="3">
        <v>0</v>
      </c>
      <c r="Q12" s="3">
        <v>13</v>
      </c>
      <c r="R12" s="3">
        <v>63</v>
      </c>
      <c r="S12" s="3">
        <v>0.218</v>
      </c>
      <c r="T12" s="3">
        <v>0.28799999999999998</v>
      </c>
      <c r="U12" s="3">
        <v>0.48599999999999999</v>
      </c>
      <c r="V12" s="3">
        <v>0.77400000000000002</v>
      </c>
      <c r="W12" s="3">
        <v>115</v>
      </c>
      <c r="X12" s="3">
        <v>0.33300000000000002</v>
      </c>
      <c r="Y12" s="3">
        <v>114</v>
      </c>
      <c r="Z12" s="3">
        <v>87</v>
      </c>
      <c r="AA12" s="3">
        <v>1</v>
      </c>
      <c r="AB12" s="3">
        <v>5</v>
      </c>
      <c r="AC12" s="3">
        <v>0</v>
      </c>
      <c r="AD12" s="3">
        <v>1</v>
      </c>
      <c r="AE12" s="3">
        <v>0</v>
      </c>
      <c r="AF12" s="3" t="s">
        <v>261</v>
      </c>
      <c r="AG12" s="3" t="s">
        <v>37</v>
      </c>
      <c r="AH12" s="3" t="s">
        <v>262</v>
      </c>
      <c r="AI12" s="3" t="s">
        <v>837</v>
      </c>
      <c r="AJ12" s="3" t="s">
        <v>821</v>
      </c>
      <c r="AK12" s="91">
        <f>IFERROR(VLOOKUP(B12,'CLE Salary 2024'!A11:I43,7,FALSE), "No salary data")</f>
        <v>377910</v>
      </c>
    </row>
    <row r="13" spans="1:37" x14ac:dyDescent="0.25">
      <c r="A13" s="4">
        <v>12</v>
      </c>
      <c r="B13" s="4" t="s">
        <v>263</v>
      </c>
      <c r="C13" s="4">
        <v>28</v>
      </c>
      <c r="D13" s="4" t="s">
        <v>58</v>
      </c>
      <c r="E13" s="4">
        <v>-0.2</v>
      </c>
      <c r="F13" s="4">
        <v>53</v>
      </c>
      <c r="G13" s="4">
        <v>187</v>
      </c>
      <c r="H13" s="4">
        <v>172</v>
      </c>
      <c r="I13" s="4">
        <v>23</v>
      </c>
      <c r="J13" s="4">
        <v>36</v>
      </c>
      <c r="K13" s="4">
        <v>10</v>
      </c>
      <c r="L13" s="4">
        <v>0</v>
      </c>
      <c r="M13" s="4">
        <v>7</v>
      </c>
      <c r="N13" s="4">
        <v>23</v>
      </c>
      <c r="O13" s="4">
        <v>4</v>
      </c>
      <c r="P13" s="4">
        <v>2</v>
      </c>
      <c r="Q13" s="4">
        <v>12</v>
      </c>
      <c r="R13" s="4">
        <v>65</v>
      </c>
      <c r="S13" s="4">
        <v>0.20899999999999999</v>
      </c>
      <c r="T13" s="4">
        <v>0.26700000000000002</v>
      </c>
      <c r="U13" s="4">
        <v>0.39</v>
      </c>
      <c r="V13" s="4">
        <v>0.65700000000000003</v>
      </c>
      <c r="W13" s="4">
        <v>85</v>
      </c>
      <c r="X13" s="4">
        <v>0.28000000000000003</v>
      </c>
      <c r="Y13" s="4">
        <v>76</v>
      </c>
      <c r="Z13" s="4">
        <v>67</v>
      </c>
      <c r="AA13" s="4">
        <v>1</v>
      </c>
      <c r="AB13" s="4">
        <v>2</v>
      </c>
      <c r="AC13" s="4">
        <v>0</v>
      </c>
      <c r="AD13" s="4">
        <v>1</v>
      </c>
      <c r="AE13" s="4">
        <v>1</v>
      </c>
      <c r="AF13" s="4" t="s">
        <v>264</v>
      </c>
      <c r="AG13" s="4" t="s">
        <v>37</v>
      </c>
      <c r="AH13" s="4" t="s">
        <v>265</v>
      </c>
      <c r="AI13" s="4" t="s">
        <v>837</v>
      </c>
      <c r="AJ13" s="4" t="s">
        <v>821</v>
      </c>
      <c r="AK13" s="89" t="str">
        <f>IFERROR(VLOOKUP(B13,'CLE Salary 2024'!A12:I44,7,FALSE), "No salary data")</f>
        <v>No salary data</v>
      </c>
    </row>
    <row r="14" spans="1:37" x14ac:dyDescent="0.25">
      <c r="A14" s="3">
        <v>13</v>
      </c>
      <c r="B14" s="3" t="s">
        <v>266</v>
      </c>
      <c r="C14" s="3">
        <v>22</v>
      </c>
      <c r="D14" s="3" t="s">
        <v>74</v>
      </c>
      <c r="E14" s="3">
        <v>0.1</v>
      </c>
      <c r="F14" s="3">
        <v>43</v>
      </c>
      <c r="G14" s="3">
        <v>169</v>
      </c>
      <c r="H14" s="3">
        <v>151</v>
      </c>
      <c r="I14" s="3">
        <v>16</v>
      </c>
      <c r="J14" s="3">
        <v>35</v>
      </c>
      <c r="K14" s="3">
        <v>7</v>
      </c>
      <c r="L14" s="3">
        <v>0</v>
      </c>
      <c r="M14" s="3">
        <v>3</v>
      </c>
      <c r="N14" s="3">
        <v>11</v>
      </c>
      <c r="O14" s="3">
        <v>3</v>
      </c>
      <c r="P14" s="3">
        <v>1</v>
      </c>
      <c r="Q14" s="3">
        <v>15</v>
      </c>
      <c r="R14" s="3">
        <v>33</v>
      </c>
      <c r="S14" s="3">
        <v>0.23200000000000001</v>
      </c>
      <c r="T14" s="3">
        <v>0.29799999999999999</v>
      </c>
      <c r="U14" s="3">
        <v>0.33800000000000002</v>
      </c>
      <c r="V14" s="3">
        <v>0.63500000000000001</v>
      </c>
      <c r="W14" s="3">
        <v>81</v>
      </c>
      <c r="X14" s="3">
        <v>0.28599999999999998</v>
      </c>
      <c r="Y14" s="3">
        <v>80</v>
      </c>
      <c r="Z14" s="3">
        <v>51</v>
      </c>
      <c r="AA14" s="3">
        <v>2</v>
      </c>
      <c r="AB14" s="3">
        <v>0</v>
      </c>
      <c r="AC14" s="3">
        <v>1</v>
      </c>
      <c r="AD14" s="3">
        <v>2</v>
      </c>
      <c r="AE14" s="3">
        <v>0</v>
      </c>
      <c r="AF14" s="3" t="s">
        <v>267</v>
      </c>
      <c r="AG14" s="3" t="s">
        <v>37</v>
      </c>
      <c r="AH14" s="3" t="s">
        <v>268</v>
      </c>
      <c r="AI14" s="3" t="s">
        <v>837</v>
      </c>
      <c r="AJ14" s="3" t="s">
        <v>821</v>
      </c>
      <c r="AK14" s="91" t="str">
        <f>IFERROR(VLOOKUP(B14,'CLE Salary 2024'!A13:I45,7,FALSE), "No salary data")</f>
        <v>No salary data</v>
      </c>
    </row>
    <row r="15" spans="1:37" x14ac:dyDescent="0.25">
      <c r="A15" s="4">
        <v>14</v>
      </c>
      <c r="B15" s="4" t="s">
        <v>269</v>
      </c>
      <c r="C15" s="4">
        <v>24</v>
      </c>
      <c r="D15" s="4" t="s">
        <v>108</v>
      </c>
      <c r="E15" s="4">
        <v>-0.4</v>
      </c>
      <c r="F15" s="4">
        <v>53</v>
      </c>
      <c r="G15" s="4">
        <v>161</v>
      </c>
      <c r="H15" s="4">
        <v>153</v>
      </c>
      <c r="I15" s="4">
        <v>15</v>
      </c>
      <c r="J15" s="4">
        <v>34</v>
      </c>
      <c r="K15" s="4">
        <v>9</v>
      </c>
      <c r="L15" s="4">
        <v>1</v>
      </c>
      <c r="M15" s="4">
        <v>3</v>
      </c>
      <c r="N15" s="4">
        <v>15</v>
      </c>
      <c r="O15" s="4">
        <v>5</v>
      </c>
      <c r="P15" s="4">
        <v>2</v>
      </c>
      <c r="Q15" s="4">
        <v>6</v>
      </c>
      <c r="R15" s="4">
        <v>53</v>
      </c>
      <c r="S15" s="4">
        <v>0.222</v>
      </c>
      <c r="T15" s="4">
        <v>0.255</v>
      </c>
      <c r="U15" s="4">
        <v>0.35299999999999998</v>
      </c>
      <c r="V15" s="4">
        <v>0.60799999999999998</v>
      </c>
      <c r="W15" s="4">
        <v>71</v>
      </c>
      <c r="X15" s="4">
        <v>0.27300000000000002</v>
      </c>
      <c r="Y15" s="4">
        <v>71</v>
      </c>
      <c r="Z15" s="4">
        <v>54</v>
      </c>
      <c r="AA15" s="4">
        <v>4</v>
      </c>
      <c r="AB15" s="4">
        <v>1</v>
      </c>
      <c r="AC15" s="4">
        <v>0</v>
      </c>
      <c r="AD15" s="4">
        <v>1</v>
      </c>
      <c r="AE15" s="4">
        <v>0</v>
      </c>
      <c r="AF15" s="4" t="s">
        <v>270</v>
      </c>
      <c r="AG15" s="4" t="s">
        <v>37</v>
      </c>
      <c r="AH15" s="4" t="s">
        <v>271</v>
      </c>
      <c r="AI15" s="4" t="s">
        <v>837</v>
      </c>
      <c r="AJ15" s="4" t="s">
        <v>821</v>
      </c>
      <c r="AK15" s="89" t="str">
        <f>IFERROR(VLOOKUP(B15,'CLE Salary 2024'!A14:I46,7,FALSE), "No salary data")</f>
        <v>No salary data</v>
      </c>
    </row>
    <row r="16" spans="1:37" x14ac:dyDescent="0.25">
      <c r="A16" s="3">
        <v>15</v>
      </c>
      <c r="B16" s="3" t="s">
        <v>272</v>
      </c>
      <c r="C16" s="3">
        <v>23</v>
      </c>
      <c r="D16" s="3" t="s">
        <v>66</v>
      </c>
      <c r="E16" s="3">
        <v>0</v>
      </c>
      <c r="F16" s="3">
        <v>53</v>
      </c>
      <c r="G16" s="3">
        <v>156</v>
      </c>
      <c r="H16" s="3">
        <v>145</v>
      </c>
      <c r="I16" s="3">
        <v>11</v>
      </c>
      <c r="J16" s="3">
        <v>34</v>
      </c>
      <c r="K16" s="3">
        <v>12</v>
      </c>
      <c r="L16" s="3">
        <v>0</v>
      </c>
      <c r="M16" s="3">
        <v>5</v>
      </c>
      <c r="N16" s="3">
        <v>15</v>
      </c>
      <c r="O16" s="3">
        <v>0</v>
      </c>
      <c r="P16" s="3">
        <v>0</v>
      </c>
      <c r="Q16" s="3">
        <v>9</v>
      </c>
      <c r="R16" s="3">
        <v>41</v>
      </c>
      <c r="S16" s="3">
        <v>0.23400000000000001</v>
      </c>
      <c r="T16" s="3">
        <v>0.28199999999999997</v>
      </c>
      <c r="U16" s="3">
        <v>0.42099999999999999</v>
      </c>
      <c r="V16" s="3">
        <v>0.70299999999999996</v>
      </c>
      <c r="W16" s="3">
        <v>97</v>
      </c>
      <c r="X16" s="3">
        <v>0.307</v>
      </c>
      <c r="Y16" s="3">
        <v>96</v>
      </c>
      <c r="Z16" s="3">
        <v>61</v>
      </c>
      <c r="AA16" s="3">
        <v>3</v>
      </c>
      <c r="AB16" s="3">
        <v>1</v>
      </c>
      <c r="AC16" s="3">
        <v>0</v>
      </c>
      <c r="AD16" s="3">
        <v>1</v>
      </c>
      <c r="AE16" s="3">
        <v>0</v>
      </c>
      <c r="AF16" s="3" t="s">
        <v>273</v>
      </c>
      <c r="AG16" s="3" t="s">
        <v>37</v>
      </c>
      <c r="AH16" s="3" t="s">
        <v>274</v>
      </c>
      <c r="AI16" s="3" t="s">
        <v>837</v>
      </c>
      <c r="AJ16" s="3" t="s">
        <v>821</v>
      </c>
      <c r="AK16" s="91">
        <f>IFERROR(VLOOKUP(B16,'CLE Salary 2024'!A15:I47,7,FALSE), "No salary data")</f>
        <v>282438</v>
      </c>
    </row>
    <row r="17" spans="1:37" x14ac:dyDescent="0.25">
      <c r="A17" s="4">
        <v>16</v>
      </c>
      <c r="B17" s="4" t="s">
        <v>275</v>
      </c>
      <c r="C17" s="4">
        <v>31</v>
      </c>
      <c r="D17" s="4" t="s">
        <v>35</v>
      </c>
      <c r="E17" s="4">
        <v>-0.6</v>
      </c>
      <c r="F17" s="4">
        <v>66</v>
      </c>
      <c r="G17" s="4">
        <v>146</v>
      </c>
      <c r="H17" s="4">
        <v>132</v>
      </c>
      <c r="I17" s="4">
        <v>12</v>
      </c>
      <c r="J17" s="4">
        <v>20</v>
      </c>
      <c r="K17" s="4">
        <v>3</v>
      </c>
      <c r="L17" s="4">
        <v>0</v>
      </c>
      <c r="M17" s="4">
        <v>2</v>
      </c>
      <c r="N17" s="4">
        <v>15</v>
      </c>
      <c r="O17" s="4">
        <v>2</v>
      </c>
      <c r="P17" s="4">
        <v>0</v>
      </c>
      <c r="Q17" s="4">
        <v>6</v>
      </c>
      <c r="R17" s="4">
        <v>50</v>
      </c>
      <c r="S17" s="4">
        <v>0.152</v>
      </c>
      <c r="T17" s="4">
        <v>0.20300000000000001</v>
      </c>
      <c r="U17" s="4">
        <v>0.22</v>
      </c>
      <c r="V17" s="4">
        <v>0.42199999999999999</v>
      </c>
      <c r="W17" s="4">
        <v>21</v>
      </c>
      <c r="X17" s="4">
        <v>0.19900000000000001</v>
      </c>
      <c r="Y17" s="4">
        <v>14</v>
      </c>
      <c r="Z17" s="4">
        <v>29</v>
      </c>
      <c r="AA17" s="4">
        <v>2</v>
      </c>
      <c r="AB17" s="4">
        <v>3</v>
      </c>
      <c r="AC17" s="4">
        <v>3</v>
      </c>
      <c r="AD17" s="4">
        <v>2</v>
      </c>
      <c r="AE17" s="4">
        <v>0</v>
      </c>
      <c r="AF17" s="4" t="s">
        <v>276</v>
      </c>
      <c r="AG17" s="4" t="s">
        <v>37</v>
      </c>
      <c r="AH17" s="4" t="s">
        <v>277</v>
      </c>
      <c r="AI17" s="4" t="s">
        <v>837</v>
      </c>
      <c r="AJ17" s="4" t="s">
        <v>821</v>
      </c>
      <c r="AK17" s="89" t="str">
        <f>IFERROR(VLOOKUP(B17,'CLE Salary 2024'!A16:I48,7,FALSE), "No salary data")</f>
        <v>No salary data</v>
      </c>
    </row>
    <row r="18" spans="1:37" x14ac:dyDescent="0.25">
      <c r="A18" s="3">
        <v>17</v>
      </c>
      <c r="B18" s="3" t="s">
        <v>278</v>
      </c>
      <c r="C18" s="3">
        <v>26</v>
      </c>
      <c r="D18" s="3" t="s">
        <v>74</v>
      </c>
      <c r="E18" s="3">
        <v>0.1</v>
      </c>
      <c r="F18" s="3">
        <v>36</v>
      </c>
      <c r="G18" s="3">
        <v>111</v>
      </c>
      <c r="H18" s="3">
        <v>98</v>
      </c>
      <c r="I18" s="3">
        <v>11</v>
      </c>
      <c r="J18" s="3">
        <v>17</v>
      </c>
      <c r="K18" s="3">
        <v>6</v>
      </c>
      <c r="L18" s="3">
        <v>2</v>
      </c>
      <c r="M18" s="3">
        <v>3</v>
      </c>
      <c r="N18" s="3">
        <v>11</v>
      </c>
      <c r="O18" s="3">
        <v>2</v>
      </c>
      <c r="P18" s="3">
        <v>1</v>
      </c>
      <c r="Q18" s="3">
        <v>11</v>
      </c>
      <c r="R18" s="3">
        <v>41</v>
      </c>
      <c r="S18" s="3">
        <v>0.17299999999999999</v>
      </c>
      <c r="T18" s="3">
        <v>0.26400000000000001</v>
      </c>
      <c r="U18" s="3">
        <v>0.36699999999999999</v>
      </c>
      <c r="V18" s="3">
        <v>0.63100000000000001</v>
      </c>
      <c r="W18" s="3">
        <v>78</v>
      </c>
      <c r="X18" s="3">
        <v>0.27500000000000002</v>
      </c>
      <c r="Y18" s="3">
        <v>73</v>
      </c>
      <c r="Z18" s="3">
        <v>36</v>
      </c>
      <c r="AA18" s="3">
        <v>2</v>
      </c>
      <c r="AB18" s="3">
        <v>1</v>
      </c>
      <c r="AC18" s="3">
        <v>1</v>
      </c>
      <c r="AD18" s="3">
        <v>0</v>
      </c>
      <c r="AE18" s="3">
        <v>0</v>
      </c>
      <c r="AF18" s="3" t="s">
        <v>279</v>
      </c>
      <c r="AG18" s="3" t="s">
        <v>37</v>
      </c>
      <c r="AH18" s="3" t="s">
        <v>280</v>
      </c>
      <c r="AI18" s="3" t="s">
        <v>837</v>
      </c>
      <c r="AJ18" s="3" t="s">
        <v>821</v>
      </c>
      <c r="AK18" s="91" t="str">
        <f>IFERROR(VLOOKUP(B18,'CLE Salary 2024'!A17:I49,7,FALSE), "No salary data")</f>
        <v>No salary data</v>
      </c>
    </row>
    <row r="19" spans="1:37" x14ac:dyDescent="0.25">
      <c r="A19" s="4">
        <v>18</v>
      </c>
      <c r="B19" s="4" t="s">
        <v>281</v>
      </c>
      <c r="C19" s="4">
        <v>29</v>
      </c>
      <c r="D19" s="4" t="s">
        <v>74</v>
      </c>
      <c r="E19" s="4">
        <v>0</v>
      </c>
      <c r="F19" s="4">
        <v>31</v>
      </c>
      <c r="G19" s="4">
        <v>83</v>
      </c>
      <c r="H19" s="4">
        <v>70</v>
      </c>
      <c r="I19" s="4">
        <v>7</v>
      </c>
      <c r="J19" s="4">
        <v>10</v>
      </c>
      <c r="K19" s="4">
        <v>3</v>
      </c>
      <c r="L19" s="4">
        <v>0</v>
      </c>
      <c r="M19" s="4">
        <v>1</v>
      </c>
      <c r="N19" s="4">
        <v>4</v>
      </c>
      <c r="O19" s="4">
        <v>3</v>
      </c>
      <c r="P19" s="4">
        <v>1</v>
      </c>
      <c r="Q19" s="4">
        <v>7</v>
      </c>
      <c r="R19" s="4">
        <v>32</v>
      </c>
      <c r="S19" s="4">
        <v>0.14299999999999999</v>
      </c>
      <c r="T19" s="4">
        <v>0.26500000000000001</v>
      </c>
      <c r="U19" s="4">
        <v>0.22900000000000001</v>
      </c>
      <c r="V19" s="4">
        <v>0.49399999999999999</v>
      </c>
      <c r="W19" s="4">
        <v>43</v>
      </c>
      <c r="X19" s="4">
        <v>0.248</v>
      </c>
      <c r="Y19" s="4">
        <v>52</v>
      </c>
      <c r="Z19" s="4">
        <v>16</v>
      </c>
      <c r="AA19" s="4">
        <v>1</v>
      </c>
      <c r="AB19" s="4">
        <v>5</v>
      </c>
      <c r="AC19" s="4">
        <v>0</v>
      </c>
      <c r="AD19" s="4">
        <v>1</v>
      </c>
      <c r="AE19" s="4">
        <v>0</v>
      </c>
      <c r="AF19" s="4" t="s">
        <v>282</v>
      </c>
      <c r="AG19" s="4" t="s">
        <v>37</v>
      </c>
      <c r="AH19" s="4" t="s">
        <v>283</v>
      </c>
      <c r="AI19" s="4" t="s">
        <v>837</v>
      </c>
      <c r="AJ19" s="4" t="s">
        <v>821</v>
      </c>
      <c r="AK19" s="89" t="str">
        <f>IFERROR(VLOOKUP(B19,'CLE Salary 2024'!A18:I50,7,FALSE), "No salary data")</f>
        <v>No salary data</v>
      </c>
    </row>
    <row r="20" spans="1:37" x14ac:dyDescent="0.25">
      <c r="A20" s="3">
        <v>19</v>
      </c>
      <c r="B20" s="3" t="s">
        <v>284</v>
      </c>
      <c r="C20" s="3">
        <v>24</v>
      </c>
      <c r="D20" s="3" t="s">
        <v>62</v>
      </c>
      <c r="E20" s="3">
        <v>-0.4</v>
      </c>
      <c r="F20" s="3">
        <v>13</v>
      </c>
      <c r="G20" s="3">
        <v>40</v>
      </c>
      <c r="H20" s="3">
        <v>31</v>
      </c>
      <c r="I20" s="3">
        <v>6</v>
      </c>
      <c r="J20" s="3">
        <v>4</v>
      </c>
      <c r="K20" s="3">
        <v>1</v>
      </c>
      <c r="L20" s="3">
        <v>0</v>
      </c>
      <c r="M20" s="3">
        <v>0</v>
      </c>
      <c r="N20" s="3">
        <v>5</v>
      </c>
      <c r="O20" s="3">
        <v>0</v>
      </c>
      <c r="P20" s="3">
        <v>0</v>
      </c>
      <c r="Q20" s="3">
        <v>9</v>
      </c>
      <c r="R20" s="3">
        <v>14</v>
      </c>
      <c r="S20" s="3">
        <v>0.129</v>
      </c>
      <c r="T20" s="3">
        <v>0.32500000000000001</v>
      </c>
      <c r="U20" s="3">
        <v>0.161</v>
      </c>
      <c r="V20" s="3">
        <v>0.48599999999999999</v>
      </c>
      <c r="W20" s="3">
        <v>46</v>
      </c>
      <c r="X20" s="3">
        <v>0.25</v>
      </c>
      <c r="Y20" s="3">
        <v>55</v>
      </c>
      <c r="Z20" s="3">
        <v>5</v>
      </c>
      <c r="AA20" s="3">
        <v>1</v>
      </c>
      <c r="AB20" s="3">
        <v>0</v>
      </c>
      <c r="AC20" s="3">
        <v>0</v>
      </c>
      <c r="AD20" s="3">
        <v>0</v>
      </c>
      <c r="AE20" s="3">
        <v>0</v>
      </c>
      <c r="AF20" s="3" t="s">
        <v>96</v>
      </c>
      <c r="AG20" s="3" t="s">
        <v>37</v>
      </c>
      <c r="AH20" s="3" t="s">
        <v>285</v>
      </c>
      <c r="AI20" s="3" t="s">
        <v>837</v>
      </c>
      <c r="AJ20" s="3" t="s">
        <v>821</v>
      </c>
      <c r="AK20" s="91" t="str">
        <f>IFERROR(VLOOKUP(B20,'CLE Salary 2024'!A19:I51,7,FALSE), "No salary data")</f>
        <v>No salary data</v>
      </c>
    </row>
    <row r="21" spans="1:37" x14ac:dyDescent="0.25">
      <c r="A21" s="4">
        <v>20</v>
      </c>
      <c r="B21" s="4" t="s">
        <v>286</v>
      </c>
      <c r="C21" s="4">
        <v>29</v>
      </c>
      <c r="D21" s="4" t="s">
        <v>66</v>
      </c>
      <c r="E21" s="4">
        <v>-0.1</v>
      </c>
      <c r="F21" s="4">
        <v>7</v>
      </c>
      <c r="G21" s="4">
        <v>4</v>
      </c>
      <c r="H21" s="4">
        <v>4</v>
      </c>
      <c r="I21" s="4">
        <v>2</v>
      </c>
      <c r="J21" s="4">
        <v>1</v>
      </c>
      <c r="K21" s="4">
        <v>0</v>
      </c>
      <c r="L21" s="4">
        <v>0</v>
      </c>
      <c r="M21" s="4">
        <v>0</v>
      </c>
      <c r="N21" s="4">
        <v>0</v>
      </c>
      <c r="O21" s="4">
        <v>2</v>
      </c>
      <c r="P21" s="4">
        <v>0</v>
      </c>
      <c r="Q21" s="4">
        <v>0</v>
      </c>
      <c r="R21" s="4">
        <v>0</v>
      </c>
      <c r="S21" s="4">
        <v>0.25</v>
      </c>
      <c r="T21" s="4">
        <v>0.25</v>
      </c>
      <c r="U21" s="4">
        <v>0.25</v>
      </c>
      <c r="V21" s="4">
        <v>0.5</v>
      </c>
      <c r="W21" s="4">
        <v>44</v>
      </c>
      <c r="X21" s="4">
        <v>0.34799999999999998</v>
      </c>
      <c r="Y21" s="4">
        <v>38</v>
      </c>
      <c r="Z21" s="4">
        <v>1</v>
      </c>
      <c r="AA21" s="4">
        <v>0</v>
      </c>
      <c r="AB21" s="4">
        <v>0</v>
      </c>
      <c r="AC21" s="4">
        <v>0</v>
      </c>
      <c r="AD21" s="4">
        <v>0</v>
      </c>
      <c r="AE21" s="4">
        <v>0</v>
      </c>
      <c r="AF21" s="4" t="s">
        <v>287</v>
      </c>
      <c r="AG21" s="4" t="s">
        <v>37</v>
      </c>
      <c r="AH21" s="4" t="s">
        <v>288</v>
      </c>
      <c r="AI21" s="4" t="s">
        <v>837</v>
      </c>
      <c r="AJ21" s="4" t="s">
        <v>821</v>
      </c>
      <c r="AK21" s="89" t="str">
        <f>IFERROR(VLOOKUP(B21,'CLE Salary 2024'!A20:I52,7,FALSE), "No salary data")</f>
        <v>No salary data</v>
      </c>
    </row>
    <row r="22" spans="1:37" x14ac:dyDescent="0.25">
      <c r="A22" s="3">
        <v>21</v>
      </c>
      <c r="B22" s="3" t="s">
        <v>289</v>
      </c>
      <c r="C22" s="3">
        <v>23</v>
      </c>
      <c r="D22" s="3" t="s">
        <v>11</v>
      </c>
      <c r="E22" s="3">
        <v>-0.1</v>
      </c>
      <c r="F22" s="3">
        <v>3</v>
      </c>
      <c r="G22" s="3">
        <v>4</v>
      </c>
      <c r="H22" s="3">
        <v>4</v>
      </c>
      <c r="I22" s="3">
        <v>0</v>
      </c>
      <c r="J22" s="3">
        <v>0</v>
      </c>
      <c r="K22" s="3">
        <v>0</v>
      </c>
      <c r="L22" s="3">
        <v>0</v>
      </c>
      <c r="M22" s="3">
        <v>0</v>
      </c>
      <c r="N22" s="3">
        <v>0</v>
      </c>
      <c r="O22" s="3">
        <v>0</v>
      </c>
      <c r="P22" s="3">
        <v>0</v>
      </c>
      <c r="Q22" s="3">
        <v>0</v>
      </c>
      <c r="R22" s="3">
        <v>2</v>
      </c>
      <c r="S22" s="3">
        <v>0</v>
      </c>
      <c r="T22" s="3">
        <v>0</v>
      </c>
      <c r="U22" s="3">
        <v>0</v>
      </c>
      <c r="V22" s="3">
        <v>0</v>
      </c>
      <c r="W22" s="3">
        <v>-100</v>
      </c>
      <c r="X22" s="3">
        <v>0</v>
      </c>
      <c r="Y22" s="3">
        <v>-124</v>
      </c>
      <c r="Z22" s="3">
        <v>0</v>
      </c>
      <c r="AA22" s="3">
        <v>0</v>
      </c>
      <c r="AB22" s="3">
        <v>0</v>
      </c>
      <c r="AC22" s="3">
        <v>0</v>
      </c>
      <c r="AD22" s="3">
        <v>0</v>
      </c>
      <c r="AE22" s="3">
        <v>0</v>
      </c>
      <c r="AF22" s="3" t="s">
        <v>290</v>
      </c>
      <c r="AG22" s="3" t="s">
        <v>37</v>
      </c>
      <c r="AH22" s="3" t="s">
        <v>291</v>
      </c>
      <c r="AI22" s="3" t="s">
        <v>837</v>
      </c>
      <c r="AJ22" s="3" t="s">
        <v>821</v>
      </c>
      <c r="AK22" s="91">
        <f>IFERROR(VLOOKUP(B22,'CLE Salary 2024'!A21:I53,7,FALSE), "No salary data")</f>
        <v>103062</v>
      </c>
    </row>
    <row r="23" spans="1:37" x14ac:dyDescent="0.25">
      <c r="A23" s="4">
        <v>22</v>
      </c>
      <c r="B23" s="4" t="s">
        <v>292</v>
      </c>
      <c r="C23" s="4">
        <v>27</v>
      </c>
      <c r="D23" s="4" t="s">
        <v>132</v>
      </c>
      <c r="E23" s="4">
        <v>0</v>
      </c>
      <c r="F23" s="4">
        <v>1</v>
      </c>
      <c r="G23" s="4">
        <v>0</v>
      </c>
      <c r="H23" s="4">
        <v>0</v>
      </c>
      <c r="I23" s="4">
        <v>0</v>
      </c>
      <c r="J23" s="4">
        <v>0</v>
      </c>
      <c r="K23" s="4">
        <v>0</v>
      </c>
      <c r="L23" s="4">
        <v>0</v>
      </c>
      <c r="M23" s="4">
        <v>0</v>
      </c>
      <c r="N23" s="4">
        <v>0</v>
      </c>
      <c r="O23" s="4">
        <v>0</v>
      </c>
      <c r="P23" s="4">
        <v>0</v>
      </c>
      <c r="Q23" s="4">
        <v>0</v>
      </c>
      <c r="R23" s="4">
        <v>0</v>
      </c>
      <c r="S23" s="4"/>
      <c r="T23" s="4"/>
      <c r="U23" s="4"/>
      <c r="V23" s="4"/>
      <c r="W23" s="4"/>
      <c r="X23" s="4"/>
      <c r="Y23" s="4"/>
      <c r="Z23" s="4">
        <v>0</v>
      </c>
      <c r="AA23" s="4">
        <v>0</v>
      </c>
      <c r="AB23" s="4">
        <v>0</v>
      </c>
      <c r="AC23" s="4">
        <v>0</v>
      </c>
      <c r="AD23" s="4">
        <v>0</v>
      </c>
      <c r="AE23" s="4">
        <v>0</v>
      </c>
      <c r="AF23" s="4" t="s">
        <v>293</v>
      </c>
      <c r="AG23" s="4" t="s">
        <v>37</v>
      </c>
      <c r="AH23" s="4" t="s">
        <v>294</v>
      </c>
      <c r="AI23" s="4" t="s">
        <v>837</v>
      </c>
      <c r="AJ23" s="4" t="s">
        <v>821</v>
      </c>
      <c r="AK23" s="89" t="str">
        <f>IFERROR(VLOOKUP(B23,'CLE Salary 2024'!A22:I54,7,FALSE), "No salary data")</f>
        <v>No salary data</v>
      </c>
    </row>
    <row r="24" spans="1:37" x14ac:dyDescent="0.25">
      <c r="A24" s="3">
        <v>23</v>
      </c>
      <c r="B24" s="3" t="s">
        <v>295</v>
      </c>
      <c r="C24" s="3">
        <v>26</v>
      </c>
      <c r="D24" s="3" t="s">
        <v>132</v>
      </c>
      <c r="E24" s="3">
        <v>0</v>
      </c>
      <c r="F24" s="3">
        <v>1</v>
      </c>
      <c r="G24" s="3">
        <v>0</v>
      </c>
      <c r="H24" s="3">
        <v>0</v>
      </c>
      <c r="I24" s="3">
        <v>0</v>
      </c>
      <c r="J24" s="3">
        <v>0</v>
      </c>
      <c r="K24" s="3">
        <v>0</v>
      </c>
      <c r="L24" s="3">
        <v>0</v>
      </c>
      <c r="M24" s="3">
        <v>0</v>
      </c>
      <c r="N24" s="3">
        <v>0</v>
      </c>
      <c r="O24" s="3">
        <v>0</v>
      </c>
      <c r="P24" s="3">
        <v>0</v>
      </c>
      <c r="Q24" s="3">
        <v>0</v>
      </c>
      <c r="R24" s="3">
        <v>0</v>
      </c>
      <c r="S24" s="3"/>
      <c r="T24" s="3"/>
      <c r="U24" s="3"/>
      <c r="V24" s="3"/>
      <c r="W24" s="3"/>
      <c r="X24" s="3"/>
      <c r="Y24" s="3"/>
      <c r="Z24" s="3">
        <v>0</v>
      </c>
      <c r="AA24" s="3">
        <v>0</v>
      </c>
      <c r="AB24" s="3">
        <v>0</v>
      </c>
      <c r="AC24" s="3">
        <v>0</v>
      </c>
      <c r="AD24" s="3">
        <v>0</v>
      </c>
      <c r="AE24" s="3">
        <v>0</v>
      </c>
      <c r="AF24" s="3" t="s">
        <v>133</v>
      </c>
      <c r="AG24" s="3" t="s">
        <v>37</v>
      </c>
      <c r="AH24" s="3" t="s">
        <v>296</v>
      </c>
      <c r="AI24" s="3" t="s">
        <v>837</v>
      </c>
      <c r="AJ24" s="3" t="s">
        <v>821</v>
      </c>
      <c r="AK24" s="91" t="str">
        <f>IFERROR(VLOOKUP(B24,'CLE Salary 2024'!A23:I55,7,FALSE), "No salary data")</f>
        <v>No salary data</v>
      </c>
    </row>
    <row r="25" spans="1:37" x14ac:dyDescent="0.25">
      <c r="A25" s="5">
        <v>24</v>
      </c>
      <c r="B25" s="5" t="s">
        <v>297</v>
      </c>
      <c r="C25" s="5">
        <v>27</v>
      </c>
      <c r="D25" s="5" t="s">
        <v>132</v>
      </c>
      <c r="E25" s="5">
        <v>0</v>
      </c>
      <c r="F25" s="5">
        <v>1</v>
      </c>
      <c r="G25" s="5">
        <v>0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P25" s="5">
        <v>0</v>
      </c>
      <c r="Q25" s="5">
        <v>0</v>
      </c>
      <c r="R25" s="5">
        <v>0</v>
      </c>
      <c r="S25" s="5"/>
      <c r="T25" s="5"/>
      <c r="U25" s="5"/>
      <c r="V25" s="5"/>
      <c r="W25" s="5"/>
      <c r="X25" s="5"/>
      <c r="Y25" s="5"/>
      <c r="Z25" s="5">
        <v>0</v>
      </c>
      <c r="AA25" s="5">
        <v>0</v>
      </c>
      <c r="AB25" s="5">
        <v>0</v>
      </c>
      <c r="AC25" s="5">
        <v>0</v>
      </c>
      <c r="AD25" s="5">
        <v>0</v>
      </c>
      <c r="AE25" s="5">
        <v>0</v>
      </c>
      <c r="AF25" s="5" t="s">
        <v>133</v>
      </c>
      <c r="AG25" s="5" t="s">
        <v>37</v>
      </c>
      <c r="AH25" s="5" t="s">
        <v>298</v>
      </c>
      <c r="AI25" s="5" t="s">
        <v>837</v>
      </c>
      <c r="AJ25" s="5" t="s">
        <v>821</v>
      </c>
      <c r="AK25" s="102" t="str">
        <f>IFERROR(VLOOKUP(B25,'CLE Salary 2024'!A24:I56,7,FALSE), "No salary data")</f>
        <v>No salary data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F78027-C8E0-4AB9-BA7B-CDC40970E70F}">
  <sheetPr codeName="Sheet5"/>
  <dimension ref="A1:AN31"/>
  <sheetViews>
    <sheetView topLeftCell="A14" workbookViewId="0">
      <selection activeCell="A2" sqref="A2:AN31"/>
    </sheetView>
  </sheetViews>
  <sheetFormatPr defaultRowHeight="15" x14ac:dyDescent="0.25"/>
  <cols>
    <col min="1" max="1" width="5.28515625" bestFit="1" customWidth="1"/>
    <col min="2" max="2" width="16.42578125" bestFit="1" customWidth="1"/>
    <col min="3" max="4" width="6.140625" bestFit="1" customWidth="1"/>
    <col min="5" max="5" width="7" bestFit="1" customWidth="1"/>
    <col min="6" max="6" width="4.7109375" bestFit="1" customWidth="1"/>
    <col min="7" max="7" width="4" bestFit="1" customWidth="1"/>
    <col min="8" max="8" width="7.85546875" bestFit="1" customWidth="1"/>
    <col min="9" max="9" width="6.42578125" bestFit="1" customWidth="1"/>
    <col min="10" max="10" width="4.42578125" bestFit="1" customWidth="1"/>
    <col min="11" max="12" width="5.42578125" bestFit="1" customWidth="1"/>
    <col min="13" max="13" width="5.5703125" bestFit="1" customWidth="1"/>
    <col min="14" max="14" width="6.7109375" bestFit="1" customWidth="1"/>
    <col min="15" max="15" width="5.28515625" bestFit="1" customWidth="1"/>
    <col min="16" max="16" width="5.85546875" bestFit="1" customWidth="1"/>
    <col min="17" max="17" width="4.42578125" bestFit="1" customWidth="1"/>
    <col min="18" max="18" width="4.28515625" bestFit="1" customWidth="1"/>
    <col min="19" max="19" width="5.28515625" bestFit="1" customWidth="1"/>
    <col min="20" max="20" width="5.5703125" bestFit="1" customWidth="1"/>
    <col min="21" max="21" width="5.28515625" bestFit="1" customWidth="1"/>
    <col min="22" max="22" width="5.85546875" bestFit="1" customWidth="1"/>
    <col min="23" max="23" width="5.42578125" bestFit="1" customWidth="1"/>
    <col min="24" max="24" width="6.5703125" bestFit="1" customWidth="1"/>
    <col min="25" max="25" width="5.28515625" bestFit="1" customWidth="1"/>
    <col min="26" max="26" width="5.85546875" bestFit="1" customWidth="1"/>
    <col min="27" max="27" width="5.140625" bestFit="1" customWidth="1"/>
    <col min="28" max="28" width="7.42578125" bestFit="1" customWidth="1"/>
    <col min="29" max="29" width="5.85546875" bestFit="1" customWidth="1"/>
    <col min="30" max="30" width="7.5703125" bestFit="1" customWidth="1"/>
    <col min="31" max="31" width="5.42578125" bestFit="1" customWidth="1"/>
    <col min="32" max="32" width="6.5703125" bestFit="1" customWidth="1"/>
    <col min="33" max="33" width="6.28515625" bestFit="1" customWidth="1"/>
    <col min="34" max="34" width="6.42578125" bestFit="1" customWidth="1"/>
    <col min="35" max="35" width="8.42578125" bestFit="1" customWidth="1"/>
    <col min="36" max="36" width="14.28515625" bestFit="1" customWidth="1"/>
    <col min="37" max="37" width="17.5703125" bestFit="1" customWidth="1"/>
    <col min="38" max="38" width="21.7109375" bestFit="1" customWidth="1"/>
    <col min="40" max="40" width="14" style="1" bestFit="1" customWidth="1"/>
  </cols>
  <sheetData>
    <row r="1" spans="1:40" x14ac:dyDescent="0.25">
      <c r="A1" s="84" t="s">
        <v>0</v>
      </c>
      <c r="B1" s="84" t="s">
        <v>1</v>
      </c>
      <c r="C1" s="84" t="s">
        <v>2</v>
      </c>
      <c r="D1" s="84" t="s">
        <v>3</v>
      </c>
      <c r="E1" s="84" t="s">
        <v>4</v>
      </c>
      <c r="F1" s="84" t="s">
        <v>137</v>
      </c>
      <c r="G1" s="84" t="s">
        <v>138</v>
      </c>
      <c r="H1" s="84" t="s">
        <v>139</v>
      </c>
      <c r="I1" s="84" t="s">
        <v>140</v>
      </c>
      <c r="J1" s="84" t="s">
        <v>5</v>
      </c>
      <c r="K1" s="84" t="s">
        <v>141</v>
      </c>
      <c r="L1" s="84" t="s">
        <v>142</v>
      </c>
      <c r="M1" s="84" t="s">
        <v>143</v>
      </c>
      <c r="N1" s="84" t="s">
        <v>144</v>
      </c>
      <c r="O1" s="84" t="s">
        <v>145</v>
      </c>
      <c r="P1" s="84" t="s">
        <v>146</v>
      </c>
      <c r="Q1" s="84" t="s">
        <v>9</v>
      </c>
      <c r="R1" s="84" t="s">
        <v>8</v>
      </c>
      <c r="S1" s="84" t="s">
        <v>147</v>
      </c>
      <c r="T1" s="84" t="s">
        <v>12</v>
      </c>
      <c r="U1" s="84" t="s">
        <v>16</v>
      </c>
      <c r="V1" s="84" t="s">
        <v>30</v>
      </c>
      <c r="W1" s="84" t="s">
        <v>17</v>
      </c>
      <c r="X1" s="84" t="s">
        <v>27</v>
      </c>
      <c r="Y1" s="84" t="s">
        <v>148</v>
      </c>
      <c r="Z1" s="84" t="s">
        <v>149</v>
      </c>
      <c r="AA1" s="84" t="s">
        <v>150</v>
      </c>
      <c r="AB1" s="84" t="s">
        <v>151</v>
      </c>
      <c r="AC1" s="84" t="s">
        <v>152</v>
      </c>
      <c r="AD1" s="84" t="s">
        <v>153</v>
      </c>
      <c r="AE1" s="84" t="s">
        <v>154</v>
      </c>
      <c r="AF1" s="84" t="s">
        <v>155</v>
      </c>
      <c r="AG1" s="84" t="s">
        <v>156</v>
      </c>
      <c r="AH1" s="84" t="s">
        <v>157</v>
      </c>
      <c r="AI1" s="84" t="s">
        <v>158</v>
      </c>
      <c r="AJ1" s="84" t="s">
        <v>32</v>
      </c>
      <c r="AK1" s="84" t="s">
        <v>33</v>
      </c>
      <c r="AL1" s="84" t="s">
        <v>836</v>
      </c>
      <c r="AM1" s="84" t="s">
        <v>817</v>
      </c>
      <c r="AN1" s="100" t="s">
        <v>840</v>
      </c>
    </row>
    <row r="2" spans="1:40" x14ac:dyDescent="0.25">
      <c r="A2" s="85">
        <v>1</v>
      </c>
      <c r="B2" s="85" t="s">
        <v>299</v>
      </c>
      <c r="C2" s="85">
        <v>25</v>
      </c>
      <c r="D2" s="85" t="s">
        <v>160</v>
      </c>
      <c r="E2" s="85">
        <v>2.7</v>
      </c>
      <c r="F2" s="85">
        <v>12</v>
      </c>
      <c r="G2" s="85">
        <v>8</v>
      </c>
      <c r="H2" s="85">
        <v>0.6</v>
      </c>
      <c r="I2" s="85">
        <v>3.47</v>
      </c>
      <c r="J2" s="85">
        <v>31</v>
      </c>
      <c r="K2" s="85">
        <v>31</v>
      </c>
      <c r="L2" s="85">
        <v>0</v>
      </c>
      <c r="M2" s="85">
        <v>0</v>
      </c>
      <c r="N2" s="85">
        <v>0</v>
      </c>
      <c r="O2" s="85">
        <v>0</v>
      </c>
      <c r="P2" s="85">
        <v>173.2</v>
      </c>
      <c r="Q2" s="85">
        <v>150</v>
      </c>
      <c r="R2" s="85">
        <v>70</v>
      </c>
      <c r="S2" s="85">
        <v>67</v>
      </c>
      <c r="T2" s="85">
        <v>22</v>
      </c>
      <c r="U2" s="85">
        <v>44</v>
      </c>
      <c r="V2" s="85">
        <v>0</v>
      </c>
      <c r="W2" s="85">
        <v>187</v>
      </c>
      <c r="X2" s="85">
        <v>8</v>
      </c>
      <c r="Y2" s="85">
        <v>0</v>
      </c>
      <c r="Z2" s="85">
        <v>2</v>
      </c>
      <c r="AA2" s="85">
        <v>710</v>
      </c>
      <c r="AB2" s="85">
        <v>117</v>
      </c>
      <c r="AC2" s="85">
        <v>3.56</v>
      </c>
      <c r="AD2" s="85">
        <v>1.117</v>
      </c>
      <c r="AE2" s="85">
        <v>7.8</v>
      </c>
      <c r="AF2" s="85">
        <v>1.1000000000000001</v>
      </c>
      <c r="AG2" s="85">
        <v>2.2999999999999998</v>
      </c>
      <c r="AH2" s="85">
        <v>9.6999999999999993</v>
      </c>
      <c r="AI2" s="85">
        <v>4.25</v>
      </c>
      <c r="AJ2" s="85" t="s">
        <v>37</v>
      </c>
      <c r="AK2" s="85" t="s">
        <v>300</v>
      </c>
      <c r="AL2" s="85" t="s">
        <v>838</v>
      </c>
      <c r="AM2" s="85" t="s">
        <v>821</v>
      </c>
      <c r="AN2" s="101">
        <f>IFERROR(VLOOKUP(B2,'CLE Salary 2024'!A1:I33,7,FALSE), "No salary data")</f>
        <v>1157584</v>
      </c>
    </row>
    <row r="3" spans="1:40" x14ac:dyDescent="0.25">
      <c r="A3" s="4">
        <v>2</v>
      </c>
      <c r="B3" s="4" t="s">
        <v>301</v>
      </c>
      <c r="C3" s="4">
        <v>32</v>
      </c>
      <c r="D3" s="4" t="s">
        <v>160</v>
      </c>
      <c r="E3" s="4">
        <v>1.5</v>
      </c>
      <c r="F3" s="4">
        <v>13</v>
      </c>
      <c r="G3" s="4">
        <v>10</v>
      </c>
      <c r="H3" s="4">
        <v>0.56499999999999995</v>
      </c>
      <c r="I3" s="4">
        <v>3.81</v>
      </c>
      <c r="J3" s="4">
        <v>29</v>
      </c>
      <c r="K3" s="4">
        <v>29</v>
      </c>
      <c r="L3" s="4">
        <v>0</v>
      </c>
      <c r="M3" s="4">
        <v>0</v>
      </c>
      <c r="N3" s="4">
        <v>0</v>
      </c>
      <c r="O3" s="4">
        <v>0</v>
      </c>
      <c r="P3" s="4">
        <v>151</v>
      </c>
      <c r="Q3" s="4">
        <v>139</v>
      </c>
      <c r="R3" s="4">
        <v>67</v>
      </c>
      <c r="S3" s="4">
        <v>64</v>
      </c>
      <c r="T3" s="4">
        <v>23</v>
      </c>
      <c r="U3" s="4">
        <v>49</v>
      </c>
      <c r="V3" s="4">
        <v>0</v>
      </c>
      <c r="W3" s="4">
        <v>118</v>
      </c>
      <c r="X3" s="4">
        <v>5</v>
      </c>
      <c r="Y3" s="4">
        <v>1</v>
      </c>
      <c r="Z3" s="4">
        <v>2</v>
      </c>
      <c r="AA3" s="4">
        <v>632</v>
      </c>
      <c r="AB3" s="4">
        <v>107</v>
      </c>
      <c r="AC3" s="4">
        <v>4.66</v>
      </c>
      <c r="AD3" s="4">
        <v>1.2450000000000001</v>
      </c>
      <c r="AE3" s="4">
        <v>8.3000000000000007</v>
      </c>
      <c r="AF3" s="4">
        <v>1.4</v>
      </c>
      <c r="AG3" s="4">
        <v>2.9</v>
      </c>
      <c r="AH3" s="4">
        <v>7</v>
      </c>
      <c r="AI3" s="4">
        <v>2.41</v>
      </c>
      <c r="AJ3" s="4" t="s">
        <v>37</v>
      </c>
      <c r="AK3" s="4" t="s">
        <v>302</v>
      </c>
      <c r="AL3" s="4" t="s">
        <v>838</v>
      </c>
      <c r="AM3" s="4" t="s">
        <v>821</v>
      </c>
      <c r="AN3" s="89" t="str">
        <f>IFERROR(VLOOKUP(B3,'CLE Salary 2024'!A2:I34,7,FALSE), "No salary data")</f>
        <v>No salary data</v>
      </c>
    </row>
    <row r="4" spans="1:40" x14ac:dyDescent="0.25">
      <c r="A4" s="3">
        <v>3</v>
      </c>
      <c r="B4" s="3" t="s">
        <v>303</v>
      </c>
      <c r="C4" s="3">
        <v>37</v>
      </c>
      <c r="D4" s="3" t="s">
        <v>160</v>
      </c>
      <c r="E4" s="3">
        <v>-1.2</v>
      </c>
      <c r="F4" s="3">
        <v>3</v>
      </c>
      <c r="G4" s="3">
        <v>10</v>
      </c>
      <c r="H4" s="3">
        <v>0.23100000000000001</v>
      </c>
      <c r="I4" s="3">
        <v>5.64</v>
      </c>
      <c r="J4" s="3">
        <v>21</v>
      </c>
      <c r="K4" s="3">
        <v>21</v>
      </c>
      <c r="L4" s="3">
        <v>0</v>
      </c>
      <c r="M4" s="3">
        <v>0</v>
      </c>
      <c r="N4" s="3">
        <v>0</v>
      </c>
      <c r="O4" s="3">
        <v>0</v>
      </c>
      <c r="P4" s="3">
        <v>103.2</v>
      </c>
      <c r="Q4" s="3">
        <v>112</v>
      </c>
      <c r="R4" s="3">
        <v>68</v>
      </c>
      <c r="S4" s="3">
        <v>65</v>
      </c>
      <c r="T4" s="3">
        <v>19</v>
      </c>
      <c r="U4" s="3">
        <v>33</v>
      </c>
      <c r="V4" s="3">
        <v>0</v>
      </c>
      <c r="W4" s="3">
        <v>89</v>
      </c>
      <c r="X4" s="3">
        <v>5</v>
      </c>
      <c r="Y4" s="3">
        <v>0</v>
      </c>
      <c r="Z4" s="3">
        <v>5</v>
      </c>
      <c r="AA4" s="3">
        <v>447</v>
      </c>
      <c r="AB4" s="3">
        <v>72</v>
      </c>
      <c r="AC4" s="3">
        <v>4.93</v>
      </c>
      <c r="AD4" s="3">
        <v>1.399</v>
      </c>
      <c r="AE4" s="3">
        <v>9.6999999999999993</v>
      </c>
      <c r="AF4" s="3">
        <v>1.6</v>
      </c>
      <c r="AG4" s="3">
        <v>2.9</v>
      </c>
      <c r="AH4" s="3">
        <v>7.7</v>
      </c>
      <c r="AI4" s="3">
        <v>2.7</v>
      </c>
      <c r="AJ4" s="3" t="s">
        <v>37</v>
      </c>
      <c r="AK4" s="3" t="s">
        <v>304</v>
      </c>
      <c r="AL4" s="3" t="s">
        <v>838</v>
      </c>
      <c r="AM4" s="3" t="s">
        <v>821</v>
      </c>
      <c r="AN4" s="91" t="str">
        <f>IFERROR(VLOOKUP(B4,'CLE Salary 2024'!A3:I35,7,FALSE), "No salary data")</f>
        <v>No salary data</v>
      </c>
    </row>
    <row r="5" spans="1:40" x14ac:dyDescent="0.25">
      <c r="A5" s="4">
        <v>4</v>
      </c>
      <c r="B5" s="4" t="s">
        <v>305</v>
      </c>
      <c r="C5" s="4">
        <v>25</v>
      </c>
      <c r="D5" s="4" t="s">
        <v>160</v>
      </c>
      <c r="E5" s="4">
        <v>-1.1000000000000001</v>
      </c>
      <c r="F5" s="4">
        <v>8</v>
      </c>
      <c r="G5" s="4">
        <v>5</v>
      </c>
      <c r="H5" s="4">
        <v>0.61499999999999999</v>
      </c>
      <c r="I5" s="4">
        <v>5.73</v>
      </c>
      <c r="J5" s="4">
        <v>20</v>
      </c>
      <c r="K5" s="4">
        <v>20</v>
      </c>
      <c r="L5" s="4">
        <v>0</v>
      </c>
      <c r="M5" s="4">
        <v>0</v>
      </c>
      <c r="N5" s="4">
        <v>0</v>
      </c>
      <c r="O5" s="4">
        <v>0</v>
      </c>
      <c r="P5" s="4">
        <v>97.1</v>
      </c>
      <c r="Q5" s="4">
        <v>113</v>
      </c>
      <c r="R5" s="4">
        <v>63</v>
      </c>
      <c r="S5" s="4">
        <v>62</v>
      </c>
      <c r="T5" s="4">
        <v>22</v>
      </c>
      <c r="U5" s="4">
        <v>41</v>
      </c>
      <c r="V5" s="4">
        <v>0</v>
      </c>
      <c r="W5" s="4">
        <v>79</v>
      </c>
      <c r="X5" s="4">
        <v>4</v>
      </c>
      <c r="Y5" s="4">
        <v>0</v>
      </c>
      <c r="Z5" s="4">
        <v>4</v>
      </c>
      <c r="AA5" s="4">
        <v>432</v>
      </c>
      <c r="AB5" s="4">
        <v>71</v>
      </c>
      <c r="AC5" s="4">
        <v>5.87</v>
      </c>
      <c r="AD5" s="4">
        <v>1.5820000000000001</v>
      </c>
      <c r="AE5" s="4">
        <v>10.4</v>
      </c>
      <c r="AF5" s="4">
        <v>2</v>
      </c>
      <c r="AG5" s="4">
        <v>3.8</v>
      </c>
      <c r="AH5" s="4">
        <v>7.3</v>
      </c>
      <c r="AI5" s="4">
        <v>1.93</v>
      </c>
      <c r="AJ5" s="4" t="s">
        <v>37</v>
      </c>
      <c r="AK5" s="4" t="s">
        <v>306</v>
      </c>
      <c r="AL5" s="4" t="s">
        <v>838</v>
      </c>
      <c r="AM5" s="4" t="s">
        <v>821</v>
      </c>
      <c r="AN5" s="89" t="str">
        <f>IFERROR(VLOOKUP(B5,'CLE Salary 2024'!A4:I36,7,FALSE), "No salary data")</f>
        <v>No salary data</v>
      </c>
    </row>
    <row r="6" spans="1:40" x14ac:dyDescent="0.25">
      <c r="A6" s="3">
        <v>5</v>
      </c>
      <c r="B6" s="3" t="s">
        <v>307</v>
      </c>
      <c r="C6" s="3">
        <v>24</v>
      </c>
      <c r="D6" s="3" t="s">
        <v>160</v>
      </c>
      <c r="E6" s="3">
        <v>-0.1</v>
      </c>
      <c r="F6" s="3">
        <v>3</v>
      </c>
      <c r="G6" s="3">
        <v>10</v>
      </c>
      <c r="H6" s="3">
        <v>0.23100000000000001</v>
      </c>
      <c r="I6" s="3">
        <v>4.8600000000000003</v>
      </c>
      <c r="J6" s="3">
        <v>16</v>
      </c>
      <c r="K6" s="3">
        <v>16</v>
      </c>
      <c r="L6" s="3">
        <v>0</v>
      </c>
      <c r="M6" s="3">
        <v>0</v>
      </c>
      <c r="N6" s="3">
        <v>0</v>
      </c>
      <c r="O6" s="3">
        <v>0</v>
      </c>
      <c r="P6" s="3">
        <v>76</v>
      </c>
      <c r="Q6" s="3">
        <v>72</v>
      </c>
      <c r="R6" s="3">
        <v>42</v>
      </c>
      <c r="S6" s="3">
        <v>41</v>
      </c>
      <c r="T6" s="3">
        <v>7</v>
      </c>
      <c r="U6" s="3">
        <v>32</v>
      </c>
      <c r="V6" s="3">
        <v>0</v>
      </c>
      <c r="W6" s="3">
        <v>79</v>
      </c>
      <c r="X6" s="3">
        <v>3</v>
      </c>
      <c r="Y6" s="3">
        <v>0</v>
      </c>
      <c r="Z6" s="3">
        <v>2</v>
      </c>
      <c r="AA6" s="3">
        <v>332</v>
      </c>
      <c r="AB6" s="3">
        <v>84</v>
      </c>
      <c r="AC6" s="3">
        <v>3.67</v>
      </c>
      <c r="AD6" s="3">
        <v>1.3680000000000001</v>
      </c>
      <c r="AE6" s="3">
        <v>8.5</v>
      </c>
      <c r="AF6" s="3">
        <v>0.8</v>
      </c>
      <c r="AG6" s="3">
        <v>3.8</v>
      </c>
      <c r="AH6" s="3">
        <v>9.4</v>
      </c>
      <c r="AI6" s="3">
        <v>2.4700000000000002</v>
      </c>
      <c r="AJ6" s="3" t="s">
        <v>37</v>
      </c>
      <c r="AK6" s="3" t="s">
        <v>308</v>
      </c>
      <c r="AL6" s="3" t="s">
        <v>838</v>
      </c>
      <c r="AM6" s="3" t="s">
        <v>821</v>
      </c>
      <c r="AN6" s="91">
        <f>IFERROR(VLOOKUP(B6,'CLE Salary 2024'!A5:I37,7,FALSE), "No salary data")</f>
        <v>742100</v>
      </c>
    </row>
    <row r="7" spans="1:40" x14ac:dyDescent="0.25">
      <c r="A7" s="4">
        <v>6</v>
      </c>
      <c r="B7" s="4" t="s">
        <v>309</v>
      </c>
      <c r="C7" s="4">
        <v>26</v>
      </c>
      <c r="D7" s="4" t="s">
        <v>160</v>
      </c>
      <c r="E7" s="4">
        <v>-0.5</v>
      </c>
      <c r="F7" s="4">
        <v>3</v>
      </c>
      <c r="G7" s="4">
        <v>5</v>
      </c>
      <c r="H7" s="4">
        <v>0.375</v>
      </c>
      <c r="I7" s="4">
        <v>5.1100000000000003</v>
      </c>
      <c r="J7" s="4">
        <v>16</v>
      </c>
      <c r="K7" s="4">
        <v>16</v>
      </c>
      <c r="L7" s="4">
        <v>0</v>
      </c>
      <c r="M7" s="4">
        <v>0</v>
      </c>
      <c r="N7" s="4">
        <v>0</v>
      </c>
      <c r="O7" s="4">
        <v>0</v>
      </c>
      <c r="P7" s="4">
        <v>75.2</v>
      </c>
      <c r="Q7" s="4">
        <v>69</v>
      </c>
      <c r="R7" s="4">
        <v>46</v>
      </c>
      <c r="S7" s="4">
        <v>43</v>
      </c>
      <c r="T7" s="4">
        <v>19</v>
      </c>
      <c r="U7" s="4">
        <v>49</v>
      </c>
      <c r="V7" s="4">
        <v>1</v>
      </c>
      <c r="W7" s="4">
        <v>74</v>
      </c>
      <c r="X7" s="4">
        <v>1</v>
      </c>
      <c r="Y7" s="4">
        <v>0</v>
      </c>
      <c r="Z7" s="4">
        <v>5</v>
      </c>
      <c r="AA7" s="4">
        <v>340</v>
      </c>
      <c r="AB7" s="4">
        <v>80</v>
      </c>
      <c r="AC7" s="4">
        <v>6.46</v>
      </c>
      <c r="AD7" s="4">
        <v>1.5589999999999999</v>
      </c>
      <c r="AE7" s="4">
        <v>8.1999999999999993</v>
      </c>
      <c r="AF7" s="4">
        <v>2.2999999999999998</v>
      </c>
      <c r="AG7" s="4">
        <v>5.8</v>
      </c>
      <c r="AH7" s="4">
        <v>8.8000000000000007</v>
      </c>
      <c r="AI7" s="4">
        <v>1.51</v>
      </c>
      <c r="AJ7" s="4" t="s">
        <v>37</v>
      </c>
      <c r="AK7" s="4" t="s">
        <v>310</v>
      </c>
      <c r="AL7" s="4" t="s">
        <v>838</v>
      </c>
      <c r="AM7" s="4" t="s">
        <v>821</v>
      </c>
      <c r="AN7" s="89" t="str">
        <f>IFERROR(VLOOKUP(B7,'CLE Salary 2024'!A6:I38,7,FALSE), "No salary data")</f>
        <v>No salary data</v>
      </c>
    </row>
    <row r="8" spans="1:40" x14ac:dyDescent="0.25">
      <c r="A8" s="3">
        <v>7</v>
      </c>
      <c r="B8" s="3" t="s">
        <v>311</v>
      </c>
      <c r="C8" s="3">
        <v>26</v>
      </c>
      <c r="D8" s="3" t="s">
        <v>169</v>
      </c>
      <c r="E8" s="3">
        <v>4.4000000000000004</v>
      </c>
      <c r="F8" s="3">
        <v>4</v>
      </c>
      <c r="G8" s="3">
        <v>2</v>
      </c>
      <c r="H8" s="3">
        <v>0.66700000000000004</v>
      </c>
      <c r="I8" s="3">
        <v>0.61</v>
      </c>
      <c r="J8" s="3">
        <v>74</v>
      </c>
      <c r="K8" s="3">
        <v>0</v>
      </c>
      <c r="L8" s="3">
        <v>66</v>
      </c>
      <c r="M8" s="3">
        <v>0</v>
      </c>
      <c r="N8" s="3">
        <v>0</v>
      </c>
      <c r="O8" s="3">
        <v>47</v>
      </c>
      <c r="P8" s="3">
        <v>74.099999999999994</v>
      </c>
      <c r="Q8" s="3">
        <v>39</v>
      </c>
      <c r="R8" s="3">
        <v>10</v>
      </c>
      <c r="S8" s="3">
        <v>5</v>
      </c>
      <c r="T8" s="3">
        <v>2</v>
      </c>
      <c r="U8" s="3">
        <v>10</v>
      </c>
      <c r="V8" s="3">
        <v>1</v>
      </c>
      <c r="W8" s="3">
        <v>66</v>
      </c>
      <c r="X8" s="3">
        <v>2</v>
      </c>
      <c r="Y8" s="3">
        <v>0</v>
      </c>
      <c r="Z8" s="3">
        <v>2</v>
      </c>
      <c r="AA8" s="3">
        <v>270</v>
      </c>
      <c r="AB8" s="3">
        <v>674</v>
      </c>
      <c r="AC8" s="3">
        <v>2.2200000000000002</v>
      </c>
      <c r="AD8" s="3">
        <v>0.65900000000000003</v>
      </c>
      <c r="AE8" s="3">
        <v>4.7</v>
      </c>
      <c r="AF8" s="3">
        <v>0.2</v>
      </c>
      <c r="AG8" s="3">
        <v>1.2</v>
      </c>
      <c r="AH8" s="3">
        <v>8</v>
      </c>
      <c r="AI8" s="3">
        <v>6.6</v>
      </c>
      <c r="AJ8" s="3" t="s">
        <v>312</v>
      </c>
      <c r="AK8" s="3" t="s">
        <v>313</v>
      </c>
      <c r="AL8" s="3" t="s">
        <v>838</v>
      </c>
      <c r="AM8" s="3" t="s">
        <v>821</v>
      </c>
      <c r="AN8" s="91" t="str">
        <f>IFERROR(VLOOKUP(B8,'CLE Salary 2024'!A7:I39,7,FALSE), "No salary data")</f>
        <v>No salary data</v>
      </c>
    </row>
    <row r="9" spans="1:40" x14ac:dyDescent="0.25">
      <c r="A9" s="4">
        <v>8</v>
      </c>
      <c r="B9" s="4" t="s">
        <v>314</v>
      </c>
      <c r="C9" s="4">
        <v>25</v>
      </c>
      <c r="D9" s="4" t="s">
        <v>171</v>
      </c>
      <c r="E9" s="4">
        <v>2.4</v>
      </c>
      <c r="F9" s="4">
        <v>6</v>
      </c>
      <c r="G9" s="4">
        <v>1</v>
      </c>
      <c r="H9" s="4">
        <v>0.85699999999999998</v>
      </c>
      <c r="I9" s="4">
        <v>1.91</v>
      </c>
      <c r="J9" s="4">
        <v>74</v>
      </c>
      <c r="K9" s="4">
        <v>0</v>
      </c>
      <c r="L9" s="4">
        <v>2</v>
      </c>
      <c r="M9" s="4">
        <v>0</v>
      </c>
      <c r="N9" s="4">
        <v>0</v>
      </c>
      <c r="O9" s="4">
        <v>1</v>
      </c>
      <c r="P9" s="4">
        <v>75.099999999999994</v>
      </c>
      <c r="Q9" s="4">
        <v>51</v>
      </c>
      <c r="R9" s="4">
        <v>16</v>
      </c>
      <c r="S9" s="4">
        <v>16</v>
      </c>
      <c r="T9" s="4">
        <v>1</v>
      </c>
      <c r="U9" s="4">
        <v>17</v>
      </c>
      <c r="V9" s="4">
        <v>0</v>
      </c>
      <c r="W9" s="4">
        <v>103</v>
      </c>
      <c r="X9" s="4">
        <v>3</v>
      </c>
      <c r="Y9" s="4">
        <v>1</v>
      </c>
      <c r="Z9" s="4">
        <v>0</v>
      </c>
      <c r="AA9" s="4">
        <v>289</v>
      </c>
      <c r="AB9" s="4">
        <v>213</v>
      </c>
      <c r="AC9" s="4">
        <v>1.4</v>
      </c>
      <c r="AD9" s="4">
        <v>0.90300000000000002</v>
      </c>
      <c r="AE9" s="4">
        <v>6.1</v>
      </c>
      <c r="AF9" s="4">
        <v>0.1</v>
      </c>
      <c r="AG9" s="4">
        <v>2</v>
      </c>
      <c r="AH9" s="4">
        <v>12.3</v>
      </c>
      <c r="AI9" s="4">
        <v>6.06</v>
      </c>
      <c r="AJ9" s="4" t="s">
        <v>315</v>
      </c>
      <c r="AK9" s="4" t="s">
        <v>316</v>
      </c>
      <c r="AL9" s="4" t="s">
        <v>838</v>
      </c>
      <c r="AM9" s="4" t="s">
        <v>821</v>
      </c>
      <c r="AN9" s="89">
        <f>IFERROR(VLOOKUP(B9,'CLE Salary 2024'!A8:I40,7,FALSE), "No salary data")</f>
        <v>1297688</v>
      </c>
    </row>
    <row r="10" spans="1:40" x14ac:dyDescent="0.25">
      <c r="A10" s="3">
        <v>9</v>
      </c>
      <c r="B10" s="3" t="s">
        <v>295</v>
      </c>
      <c r="C10" s="3">
        <v>26</v>
      </c>
      <c r="D10" s="3" t="s">
        <v>171</v>
      </c>
      <c r="E10" s="3">
        <v>2.6</v>
      </c>
      <c r="F10" s="3">
        <v>6</v>
      </c>
      <c r="G10" s="3">
        <v>3</v>
      </c>
      <c r="H10" s="3">
        <v>0.66700000000000004</v>
      </c>
      <c r="I10" s="3">
        <v>1.57</v>
      </c>
      <c r="J10" s="3">
        <v>78</v>
      </c>
      <c r="K10" s="3">
        <v>0</v>
      </c>
      <c r="L10" s="3">
        <v>8</v>
      </c>
      <c r="M10" s="3">
        <v>0</v>
      </c>
      <c r="N10" s="3">
        <v>0</v>
      </c>
      <c r="O10" s="3">
        <v>0</v>
      </c>
      <c r="P10" s="3">
        <v>74.2</v>
      </c>
      <c r="Q10" s="3">
        <v>43</v>
      </c>
      <c r="R10" s="3">
        <v>16</v>
      </c>
      <c r="S10" s="3">
        <v>13</v>
      </c>
      <c r="T10" s="3">
        <v>4</v>
      </c>
      <c r="U10" s="3">
        <v>14</v>
      </c>
      <c r="V10" s="3">
        <v>1</v>
      </c>
      <c r="W10" s="3">
        <v>66</v>
      </c>
      <c r="X10" s="3">
        <v>4</v>
      </c>
      <c r="Y10" s="3">
        <v>0</v>
      </c>
      <c r="Z10" s="3">
        <v>2</v>
      </c>
      <c r="AA10" s="3">
        <v>278</v>
      </c>
      <c r="AB10" s="3">
        <v>260</v>
      </c>
      <c r="AC10" s="3">
        <v>2.82</v>
      </c>
      <c r="AD10" s="3">
        <v>0.76300000000000001</v>
      </c>
      <c r="AE10" s="3">
        <v>5.2</v>
      </c>
      <c r="AF10" s="3">
        <v>0.5</v>
      </c>
      <c r="AG10" s="3">
        <v>1.7</v>
      </c>
      <c r="AH10" s="3">
        <v>8</v>
      </c>
      <c r="AI10" s="3">
        <v>4.71</v>
      </c>
      <c r="AJ10" s="3" t="s">
        <v>37</v>
      </c>
      <c r="AK10" s="3" t="s">
        <v>296</v>
      </c>
      <c r="AL10" s="3" t="s">
        <v>838</v>
      </c>
      <c r="AM10" s="3" t="s">
        <v>821</v>
      </c>
      <c r="AN10" s="91">
        <f>IFERROR(VLOOKUP(B10,'CLE Salary 2024'!A9:I41,7,FALSE), "No salary data")</f>
        <v>1032035</v>
      </c>
    </row>
    <row r="11" spans="1:40" x14ac:dyDescent="0.25">
      <c r="A11" s="4">
        <v>10</v>
      </c>
      <c r="B11" s="4" t="s">
        <v>317</v>
      </c>
      <c r="C11" s="4">
        <v>27</v>
      </c>
      <c r="D11" s="4" t="s">
        <v>171</v>
      </c>
      <c r="E11" s="4">
        <v>1.7</v>
      </c>
      <c r="F11" s="4">
        <v>5</v>
      </c>
      <c r="G11" s="4">
        <v>1</v>
      </c>
      <c r="H11" s="4">
        <v>0.83299999999999996</v>
      </c>
      <c r="I11" s="4">
        <v>1.92</v>
      </c>
      <c r="J11" s="4">
        <v>75</v>
      </c>
      <c r="K11" s="4">
        <v>0</v>
      </c>
      <c r="L11" s="4">
        <v>6</v>
      </c>
      <c r="M11" s="4">
        <v>0</v>
      </c>
      <c r="N11" s="4">
        <v>0</v>
      </c>
      <c r="O11" s="4">
        <v>0</v>
      </c>
      <c r="P11" s="4">
        <v>65.2</v>
      </c>
      <c r="Q11" s="4">
        <v>39</v>
      </c>
      <c r="R11" s="4">
        <v>17</v>
      </c>
      <c r="S11" s="4">
        <v>14</v>
      </c>
      <c r="T11" s="4">
        <v>2</v>
      </c>
      <c r="U11" s="4">
        <v>25</v>
      </c>
      <c r="V11" s="4">
        <v>1</v>
      </c>
      <c r="W11" s="4">
        <v>68</v>
      </c>
      <c r="X11" s="4">
        <v>5</v>
      </c>
      <c r="Y11" s="4">
        <v>1</v>
      </c>
      <c r="Z11" s="4">
        <v>3</v>
      </c>
      <c r="AA11" s="4">
        <v>257</v>
      </c>
      <c r="AB11" s="4">
        <v>213</v>
      </c>
      <c r="AC11" s="4">
        <v>2.86</v>
      </c>
      <c r="AD11" s="4">
        <v>0.97499999999999998</v>
      </c>
      <c r="AE11" s="4">
        <v>5.3</v>
      </c>
      <c r="AF11" s="4">
        <v>0.3</v>
      </c>
      <c r="AG11" s="4">
        <v>3.4</v>
      </c>
      <c r="AH11" s="4">
        <v>9.3000000000000007</v>
      </c>
      <c r="AI11" s="4">
        <v>2.72</v>
      </c>
      <c r="AJ11" s="4" t="s">
        <v>37</v>
      </c>
      <c r="AK11" s="4" t="s">
        <v>318</v>
      </c>
      <c r="AL11" s="4" t="s">
        <v>838</v>
      </c>
      <c r="AM11" s="4" t="s">
        <v>821</v>
      </c>
      <c r="AN11" s="89">
        <f>IFERROR(VLOOKUP(B11,'CLE Salary 2024'!A10:I42,7,FALSE), "No salary data")</f>
        <v>740800</v>
      </c>
    </row>
    <row r="12" spans="1:40" x14ac:dyDescent="0.25">
      <c r="A12" s="3">
        <v>11</v>
      </c>
      <c r="B12" s="3" t="s">
        <v>319</v>
      </c>
      <c r="C12" s="3">
        <v>27</v>
      </c>
      <c r="D12" s="3" t="s">
        <v>171</v>
      </c>
      <c r="E12" s="3">
        <v>-0.1</v>
      </c>
      <c r="F12" s="3">
        <v>8</v>
      </c>
      <c r="G12" s="3">
        <v>0</v>
      </c>
      <c r="H12" s="3">
        <v>1</v>
      </c>
      <c r="I12" s="3">
        <v>3.75</v>
      </c>
      <c r="J12" s="3">
        <v>68</v>
      </c>
      <c r="K12" s="3">
        <v>1</v>
      </c>
      <c r="L12" s="3">
        <v>7</v>
      </c>
      <c r="M12" s="3">
        <v>0</v>
      </c>
      <c r="N12" s="3">
        <v>0</v>
      </c>
      <c r="O12" s="3">
        <v>1</v>
      </c>
      <c r="P12" s="3">
        <v>57.2</v>
      </c>
      <c r="Q12" s="3">
        <v>46</v>
      </c>
      <c r="R12" s="3">
        <v>29</v>
      </c>
      <c r="S12" s="3">
        <v>24</v>
      </c>
      <c r="T12" s="3">
        <v>12</v>
      </c>
      <c r="U12" s="3">
        <v>27</v>
      </c>
      <c r="V12" s="3">
        <v>2</v>
      </c>
      <c r="W12" s="3">
        <v>68</v>
      </c>
      <c r="X12" s="3">
        <v>6</v>
      </c>
      <c r="Y12" s="3">
        <v>0</v>
      </c>
      <c r="Z12" s="3">
        <v>1</v>
      </c>
      <c r="AA12" s="3">
        <v>246</v>
      </c>
      <c r="AB12" s="3">
        <v>109</v>
      </c>
      <c r="AC12" s="3">
        <v>5.23</v>
      </c>
      <c r="AD12" s="3">
        <v>1.266</v>
      </c>
      <c r="AE12" s="3">
        <v>7.2</v>
      </c>
      <c r="AF12" s="3">
        <v>1.9</v>
      </c>
      <c r="AG12" s="3">
        <v>4.2</v>
      </c>
      <c r="AH12" s="3">
        <v>10.6</v>
      </c>
      <c r="AI12" s="3">
        <v>2.52</v>
      </c>
      <c r="AJ12" s="3" t="s">
        <v>37</v>
      </c>
      <c r="AK12" s="3" t="s">
        <v>320</v>
      </c>
      <c r="AL12" s="3" t="s">
        <v>838</v>
      </c>
      <c r="AM12" s="3" t="s">
        <v>821</v>
      </c>
      <c r="AN12" s="91" t="str">
        <f>IFERROR(VLOOKUP(B12,'CLE Salary 2024'!A11:I43,7,FALSE), "No salary data")</f>
        <v>No salary data</v>
      </c>
    </row>
    <row r="13" spans="1:40" x14ac:dyDescent="0.25">
      <c r="A13" s="4">
        <v>12</v>
      </c>
      <c r="B13" s="4" t="s">
        <v>297</v>
      </c>
      <c r="C13" s="4">
        <v>27</v>
      </c>
      <c r="D13" s="4" t="s">
        <v>37</v>
      </c>
      <c r="E13" s="4">
        <v>0.6</v>
      </c>
      <c r="F13" s="4">
        <v>5</v>
      </c>
      <c r="G13" s="4">
        <v>1</v>
      </c>
      <c r="H13" s="4">
        <v>0.83299999999999996</v>
      </c>
      <c r="I13" s="4">
        <v>3.25</v>
      </c>
      <c r="J13" s="4">
        <v>50</v>
      </c>
      <c r="K13" s="4">
        <v>0</v>
      </c>
      <c r="L13" s="4">
        <v>15</v>
      </c>
      <c r="M13" s="4">
        <v>0</v>
      </c>
      <c r="N13" s="4">
        <v>0</v>
      </c>
      <c r="O13" s="4">
        <v>1</v>
      </c>
      <c r="P13" s="4">
        <v>74.2</v>
      </c>
      <c r="Q13" s="4">
        <v>68</v>
      </c>
      <c r="R13" s="4">
        <v>30</v>
      </c>
      <c r="S13" s="4">
        <v>27</v>
      </c>
      <c r="T13" s="4">
        <v>7</v>
      </c>
      <c r="U13" s="4">
        <v>30</v>
      </c>
      <c r="V13" s="4">
        <v>1</v>
      </c>
      <c r="W13" s="4">
        <v>73</v>
      </c>
      <c r="X13" s="4">
        <v>3</v>
      </c>
      <c r="Y13" s="4">
        <v>0</v>
      </c>
      <c r="Z13" s="4">
        <v>4</v>
      </c>
      <c r="AA13" s="4">
        <v>318</v>
      </c>
      <c r="AB13" s="4">
        <v>125</v>
      </c>
      <c r="AC13" s="4">
        <v>3.76</v>
      </c>
      <c r="AD13" s="4">
        <v>1.3129999999999999</v>
      </c>
      <c r="AE13" s="4">
        <v>8.1999999999999993</v>
      </c>
      <c r="AF13" s="4">
        <v>0.8</v>
      </c>
      <c r="AG13" s="4">
        <v>3.6</v>
      </c>
      <c r="AH13" s="4">
        <v>8.8000000000000007</v>
      </c>
      <c r="AI13" s="4">
        <v>2.4300000000000002</v>
      </c>
      <c r="AJ13" s="4" t="s">
        <v>37</v>
      </c>
      <c r="AK13" s="4" t="s">
        <v>298</v>
      </c>
      <c r="AL13" s="4" t="s">
        <v>838</v>
      </c>
      <c r="AM13" s="4" t="s">
        <v>821</v>
      </c>
      <c r="AN13" s="89">
        <f>IFERROR(VLOOKUP(B13,'CLE Salary 2024'!A12:I44,7,FALSE), "No salary data")</f>
        <v>658296</v>
      </c>
    </row>
    <row r="14" spans="1:40" x14ac:dyDescent="0.25">
      <c r="A14" s="3">
        <v>13</v>
      </c>
      <c r="B14" s="3" t="s">
        <v>321</v>
      </c>
      <c r="C14" s="3">
        <v>31</v>
      </c>
      <c r="D14" s="3" t="s">
        <v>37</v>
      </c>
      <c r="E14" s="3">
        <v>0.2</v>
      </c>
      <c r="F14" s="3">
        <v>3</v>
      </c>
      <c r="G14" s="3">
        <v>3</v>
      </c>
      <c r="H14" s="3">
        <v>0.5</v>
      </c>
      <c r="I14" s="3">
        <v>4.25</v>
      </c>
      <c r="J14" s="3">
        <v>63</v>
      </c>
      <c r="K14" s="3">
        <v>0</v>
      </c>
      <c r="L14" s="3">
        <v>15</v>
      </c>
      <c r="M14" s="3">
        <v>0</v>
      </c>
      <c r="N14" s="3">
        <v>0</v>
      </c>
      <c r="O14" s="3">
        <v>2</v>
      </c>
      <c r="P14" s="3">
        <v>55</v>
      </c>
      <c r="Q14" s="3">
        <v>44</v>
      </c>
      <c r="R14" s="3">
        <v>27</v>
      </c>
      <c r="S14" s="3">
        <v>26</v>
      </c>
      <c r="T14" s="3">
        <v>6</v>
      </c>
      <c r="U14" s="3">
        <v>31</v>
      </c>
      <c r="V14" s="3">
        <v>1</v>
      </c>
      <c r="W14" s="3">
        <v>68</v>
      </c>
      <c r="X14" s="3">
        <v>4</v>
      </c>
      <c r="Y14" s="3">
        <v>0</v>
      </c>
      <c r="Z14" s="3">
        <v>2</v>
      </c>
      <c r="AA14" s="3">
        <v>241</v>
      </c>
      <c r="AB14" s="3">
        <v>96</v>
      </c>
      <c r="AC14" s="3">
        <v>4.0199999999999996</v>
      </c>
      <c r="AD14" s="3">
        <v>1.3640000000000001</v>
      </c>
      <c r="AE14" s="3">
        <v>7.2</v>
      </c>
      <c r="AF14" s="3">
        <v>1</v>
      </c>
      <c r="AG14" s="3">
        <v>5.0999999999999996</v>
      </c>
      <c r="AH14" s="3">
        <v>11.1</v>
      </c>
      <c r="AI14" s="3">
        <v>2.19</v>
      </c>
      <c r="AJ14" s="3" t="s">
        <v>37</v>
      </c>
      <c r="AK14" s="3" t="s">
        <v>322</v>
      </c>
      <c r="AL14" s="3" t="s">
        <v>838</v>
      </c>
      <c r="AM14" s="3" t="s">
        <v>821</v>
      </c>
      <c r="AN14" s="91" t="str">
        <f>IFERROR(VLOOKUP(B14,'CLE Salary 2024'!A13:I45,7,FALSE), "No salary data")</f>
        <v>No salary data</v>
      </c>
    </row>
    <row r="15" spans="1:40" x14ac:dyDescent="0.25">
      <c r="A15" s="4">
        <v>14</v>
      </c>
      <c r="B15" s="4" t="s">
        <v>323</v>
      </c>
      <c r="C15" s="4">
        <v>28</v>
      </c>
      <c r="D15" s="4" t="s">
        <v>37</v>
      </c>
      <c r="E15" s="4">
        <v>1.1000000000000001</v>
      </c>
      <c r="F15" s="4">
        <v>3</v>
      </c>
      <c r="G15" s="4">
        <v>0</v>
      </c>
      <c r="H15" s="4">
        <v>1</v>
      </c>
      <c r="I15" s="4">
        <v>1.93</v>
      </c>
      <c r="J15" s="4">
        <v>32</v>
      </c>
      <c r="K15" s="4">
        <v>0</v>
      </c>
      <c r="L15" s="4">
        <v>9</v>
      </c>
      <c r="M15" s="4">
        <v>0</v>
      </c>
      <c r="N15" s="4">
        <v>0</v>
      </c>
      <c r="O15" s="4">
        <v>0</v>
      </c>
      <c r="P15" s="4">
        <v>42</v>
      </c>
      <c r="Q15" s="4">
        <v>30</v>
      </c>
      <c r="R15" s="4">
        <v>11</v>
      </c>
      <c r="S15" s="4">
        <v>9</v>
      </c>
      <c r="T15" s="4">
        <v>4</v>
      </c>
      <c r="U15" s="4">
        <v>11</v>
      </c>
      <c r="V15" s="4">
        <v>1</v>
      </c>
      <c r="W15" s="4">
        <v>34</v>
      </c>
      <c r="X15" s="4">
        <v>1</v>
      </c>
      <c r="Y15" s="4">
        <v>0</v>
      </c>
      <c r="Z15" s="4">
        <v>0</v>
      </c>
      <c r="AA15" s="4">
        <v>167</v>
      </c>
      <c r="AB15" s="4">
        <v>212</v>
      </c>
      <c r="AC15" s="4">
        <v>3.64</v>
      </c>
      <c r="AD15" s="4">
        <v>0.97599999999999998</v>
      </c>
      <c r="AE15" s="4">
        <v>6.4</v>
      </c>
      <c r="AF15" s="4">
        <v>0.9</v>
      </c>
      <c r="AG15" s="4">
        <v>2.4</v>
      </c>
      <c r="AH15" s="4">
        <v>7.3</v>
      </c>
      <c r="AI15" s="4">
        <v>3.09</v>
      </c>
      <c r="AJ15" s="4" t="s">
        <v>37</v>
      </c>
      <c r="AK15" s="4" t="s">
        <v>324</v>
      </c>
      <c r="AL15" s="4" t="s">
        <v>838</v>
      </c>
      <c r="AM15" s="4" t="s">
        <v>821</v>
      </c>
      <c r="AN15" s="89">
        <f>IFERROR(VLOOKUP(B15,'CLE Salary 2024'!A14:I46,7,FALSE), "No salary data")</f>
        <v>626045</v>
      </c>
    </row>
    <row r="16" spans="1:40" x14ac:dyDescent="0.25">
      <c r="A16" s="3">
        <v>15</v>
      </c>
      <c r="B16" s="3" t="s">
        <v>325</v>
      </c>
      <c r="C16" s="3">
        <v>33</v>
      </c>
      <c r="D16" s="3" t="s">
        <v>37</v>
      </c>
      <c r="E16" s="3">
        <v>0.7</v>
      </c>
      <c r="F16" s="3">
        <v>2</v>
      </c>
      <c r="G16" s="3">
        <v>2</v>
      </c>
      <c r="H16" s="3">
        <v>0.5</v>
      </c>
      <c r="I16" s="3">
        <v>2.72</v>
      </c>
      <c r="J16" s="3">
        <v>8</v>
      </c>
      <c r="K16" s="3">
        <v>8</v>
      </c>
      <c r="L16" s="3">
        <v>0</v>
      </c>
      <c r="M16" s="3">
        <v>0</v>
      </c>
      <c r="N16" s="3">
        <v>0</v>
      </c>
      <c r="O16" s="3">
        <v>0</v>
      </c>
      <c r="P16" s="3">
        <v>39.200000000000003</v>
      </c>
      <c r="Q16" s="3">
        <v>32</v>
      </c>
      <c r="R16" s="3">
        <v>16</v>
      </c>
      <c r="S16" s="3">
        <v>12</v>
      </c>
      <c r="T16" s="3">
        <v>4</v>
      </c>
      <c r="U16" s="3">
        <v>13</v>
      </c>
      <c r="V16" s="3">
        <v>0</v>
      </c>
      <c r="W16" s="3">
        <v>46</v>
      </c>
      <c r="X16" s="3">
        <v>2</v>
      </c>
      <c r="Y16" s="3">
        <v>1</v>
      </c>
      <c r="Z16" s="3">
        <v>0</v>
      </c>
      <c r="AA16" s="3">
        <v>166</v>
      </c>
      <c r="AB16" s="3">
        <v>151</v>
      </c>
      <c r="AC16" s="3">
        <v>3.29</v>
      </c>
      <c r="AD16" s="3">
        <v>1.1339999999999999</v>
      </c>
      <c r="AE16" s="3">
        <v>7.3</v>
      </c>
      <c r="AF16" s="3">
        <v>0.9</v>
      </c>
      <c r="AG16" s="3">
        <v>2.9</v>
      </c>
      <c r="AH16" s="3">
        <v>10.4</v>
      </c>
      <c r="AI16" s="3">
        <v>3.54</v>
      </c>
      <c r="AJ16" s="3" t="s">
        <v>37</v>
      </c>
      <c r="AK16" s="3" t="s">
        <v>326</v>
      </c>
      <c r="AL16" s="3" t="s">
        <v>838</v>
      </c>
      <c r="AM16" s="3" t="s">
        <v>821</v>
      </c>
      <c r="AN16" s="91" t="str">
        <f>IFERROR(VLOOKUP(B16,'CLE Salary 2024'!A15:I47,7,FALSE), "No salary data")</f>
        <v>No salary data</v>
      </c>
    </row>
    <row r="17" spans="1:40" x14ac:dyDescent="0.25">
      <c r="A17" s="4">
        <v>16</v>
      </c>
      <c r="B17" s="4" t="s">
        <v>327</v>
      </c>
      <c r="C17" s="4">
        <v>24</v>
      </c>
      <c r="D17" s="4" t="s">
        <v>37</v>
      </c>
      <c r="E17" s="4">
        <v>-0.1</v>
      </c>
      <c r="F17" s="4">
        <v>2</v>
      </c>
      <c r="G17" s="4">
        <v>4</v>
      </c>
      <c r="H17" s="4">
        <v>0.33300000000000002</v>
      </c>
      <c r="I17" s="4">
        <v>4.8899999999999997</v>
      </c>
      <c r="J17" s="4">
        <v>9</v>
      </c>
      <c r="K17" s="4">
        <v>8</v>
      </c>
      <c r="L17" s="4">
        <v>1</v>
      </c>
      <c r="M17" s="4">
        <v>0</v>
      </c>
      <c r="N17" s="4">
        <v>0</v>
      </c>
      <c r="O17" s="4">
        <v>0</v>
      </c>
      <c r="P17" s="4">
        <v>38.200000000000003</v>
      </c>
      <c r="Q17" s="4">
        <v>35</v>
      </c>
      <c r="R17" s="4">
        <v>22</v>
      </c>
      <c r="S17" s="4">
        <v>21</v>
      </c>
      <c r="T17" s="4">
        <v>6</v>
      </c>
      <c r="U17" s="4">
        <v>15</v>
      </c>
      <c r="V17" s="4">
        <v>0</v>
      </c>
      <c r="W17" s="4">
        <v>44</v>
      </c>
      <c r="X17" s="4">
        <v>0</v>
      </c>
      <c r="Y17" s="4">
        <v>0</v>
      </c>
      <c r="Z17" s="4">
        <v>4</v>
      </c>
      <c r="AA17" s="4">
        <v>163</v>
      </c>
      <c r="AB17" s="4">
        <v>84</v>
      </c>
      <c r="AC17" s="4">
        <v>4.07</v>
      </c>
      <c r="AD17" s="4">
        <v>1.2929999999999999</v>
      </c>
      <c r="AE17" s="4">
        <v>8.1</v>
      </c>
      <c r="AF17" s="4">
        <v>1.4</v>
      </c>
      <c r="AG17" s="4">
        <v>3.5</v>
      </c>
      <c r="AH17" s="4">
        <v>10.199999999999999</v>
      </c>
      <c r="AI17" s="4">
        <v>2.93</v>
      </c>
      <c r="AJ17" s="4" t="s">
        <v>37</v>
      </c>
      <c r="AK17" s="4" t="s">
        <v>328</v>
      </c>
      <c r="AL17" s="4" t="s">
        <v>838</v>
      </c>
      <c r="AM17" s="4" t="s">
        <v>821</v>
      </c>
      <c r="AN17" s="89">
        <f>IFERROR(VLOOKUP(B17,'CLE Salary 2024'!A16:I48,7,FALSE), "No salary data")</f>
        <v>119340</v>
      </c>
    </row>
    <row r="18" spans="1:40" x14ac:dyDescent="0.25">
      <c r="A18" s="3">
        <v>17</v>
      </c>
      <c r="B18" s="3" t="s">
        <v>329</v>
      </c>
      <c r="C18" s="3">
        <v>25</v>
      </c>
      <c r="D18" s="3" t="s">
        <v>37</v>
      </c>
      <c r="E18" s="3">
        <v>-0.3</v>
      </c>
      <c r="F18" s="3">
        <v>0</v>
      </c>
      <c r="G18" s="3">
        <v>2</v>
      </c>
      <c r="H18" s="3">
        <v>0</v>
      </c>
      <c r="I18" s="3">
        <v>5.84</v>
      </c>
      <c r="J18" s="3">
        <v>7</v>
      </c>
      <c r="K18" s="3">
        <v>4</v>
      </c>
      <c r="L18" s="3">
        <v>3</v>
      </c>
      <c r="M18" s="3">
        <v>0</v>
      </c>
      <c r="N18" s="3">
        <v>0</v>
      </c>
      <c r="O18" s="3">
        <v>0</v>
      </c>
      <c r="P18" s="3">
        <v>24.2</v>
      </c>
      <c r="Q18" s="3">
        <v>29</v>
      </c>
      <c r="R18" s="3">
        <v>17</v>
      </c>
      <c r="S18" s="3">
        <v>16</v>
      </c>
      <c r="T18" s="3">
        <v>5</v>
      </c>
      <c r="U18" s="3">
        <v>5</v>
      </c>
      <c r="V18" s="3">
        <v>1</v>
      </c>
      <c r="W18" s="3">
        <v>15</v>
      </c>
      <c r="X18" s="3">
        <v>0</v>
      </c>
      <c r="Y18" s="3">
        <v>0</v>
      </c>
      <c r="Z18" s="3">
        <v>1</v>
      </c>
      <c r="AA18" s="3">
        <v>108</v>
      </c>
      <c r="AB18" s="3">
        <v>71</v>
      </c>
      <c r="AC18" s="3">
        <v>5.19</v>
      </c>
      <c r="AD18" s="3">
        <v>1.3779999999999999</v>
      </c>
      <c r="AE18" s="3">
        <v>10.6</v>
      </c>
      <c r="AF18" s="3">
        <v>1.8</v>
      </c>
      <c r="AG18" s="3">
        <v>1.8</v>
      </c>
      <c r="AH18" s="3">
        <v>5.5</v>
      </c>
      <c r="AI18" s="3">
        <v>3</v>
      </c>
      <c r="AJ18" s="3" t="s">
        <v>37</v>
      </c>
      <c r="AK18" s="3" t="s">
        <v>330</v>
      </c>
      <c r="AL18" s="3" t="s">
        <v>838</v>
      </c>
      <c r="AM18" s="3" t="s">
        <v>821</v>
      </c>
      <c r="AN18" s="91">
        <f>IFERROR(VLOOKUP(B18,'CLE Salary 2024'!A17:I49,7,FALSE), "No salary data")</f>
        <v>240893</v>
      </c>
    </row>
    <row r="19" spans="1:40" x14ac:dyDescent="0.25">
      <c r="A19" s="4">
        <v>18</v>
      </c>
      <c r="B19" s="4" t="s">
        <v>331</v>
      </c>
      <c r="C19" s="4">
        <v>27</v>
      </c>
      <c r="D19" s="4" t="s">
        <v>37</v>
      </c>
      <c r="E19" s="4">
        <v>0.4</v>
      </c>
      <c r="F19" s="4">
        <v>0</v>
      </c>
      <c r="G19" s="4">
        <v>0</v>
      </c>
      <c r="H19" s="4"/>
      <c r="I19" s="4">
        <v>3.04</v>
      </c>
      <c r="J19" s="4">
        <v>25</v>
      </c>
      <c r="K19" s="4">
        <v>0</v>
      </c>
      <c r="L19" s="4">
        <v>4</v>
      </c>
      <c r="M19" s="4">
        <v>0</v>
      </c>
      <c r="N19" s="4">
        <v>0</v>
      </c>
      <c r="O19" s="4">
        <v>0</v>
      </c>
      <c r="P19" s="4">
        <v>23.2</v>
      </c>
      <c r="Q19" s="4">
        <v>18</v>
      </c>
      <c r="R19" s="4">
        <v>8</v>
      </c>
      <c r="S19" s="4">
        <v>8</v>
      </c>
      <c r="T19" s="4">
        <v>3</v>
      </c>
      <c r="U19" s="4">
        <v>5</v>
      </c>
      <c r="V19" s="4">
        <v>0</v>
      </c>
      <c r="W19" s="4">
        <v>27</v>
      </c>
      <c r="X19" s="4">
        <v>0</v>
      </c>
      <c r="Y19" s="4">
        <v>0</v>
      </c>
      <c r="Z19" s="4">
        <v>0</v>
      </c>
      <c r="AA19" s="4">
        <v>91</v>
      </c>
      <c r="AB19" s="4">
        <v>136</v>
      </c>
      <c r="AC19" s="4">
        <v>3.17</v>
      </c>
      <c r="AD19" s="4">
        <v>0.97199999999999998</v>
      </c>
      <c r="AE19" s="4">
        <v>6.8</v>
      </c>
      <c r="AF19" s="4">
        <v>1.1000000000000001</v>
      </c>
      <c r="AG19" s="4">
        <v>1.9</v>
      </c>
      <c r="AH19" s="4">
        <v>10.3</v>
      </c>
      <c r="AI19" s="4">
        <v>5.4</v>
      </c>
      <c r="AJ19" s="4" t="s">
        <v>37</v>
      </c>
      <c r="AK19" s="4" t="s">
        <v>332</v>
      </c>
      <c r="AL19" s="4" t="s">
        <v>838</v>
      </c>
      <c r="AM19" s="4" t="s">
        <v>821</v>
      </c>
      <c r="AN19" s="89" t="str">
        <f>IFERROR(VLOOKUP(B19,'CLE Salary 2024'!A18:I50,7,FALSE), "No salary data")</f>
        <v>No salary data</v>
      </c>
    </row>
    <row r="20" spans="1:40" x14ac:dyDescent="0.25">
      <c r="A20" s="3">
        <v>19</v>
      </c>
      <c r="B20" s="3" t="s">
        <v>333</v>
      </c>
      <c r="C20" s="3">
        <v>36</v>
      </c>
      <c r="D20" s="3" t="s">
        <v>37</v>
      </c>
      <c r="E20" s="3">
        <v>0.3</v>
      </c>
      <c r="F20" s="3">
        <v>2</v>
      </c>
      <c r="G20" s="3">
        <v>1</v>
      </c>
      <c r="H20" s="3">
        <v>0.66700000000000004</v>
      </c>
      <c r="I20" s="3">
        <v>2.76</v>
      </c>
      <c r="J20" s="3">
        <v>3</v>
      </c>
      <c r="K20" s="3">
        <v>3</v>
      </c>
      <c r="L20" s="3">
        <v>0</v>
      </c>
      <c r="M20" s="3">
        <v>0</v>
      </c>
      <c r="N20" s="3">
        <v>0</v>
      </c>
      <c r="O20" s="3">
        <v>0</v>
      </c>
      <c r="P20" s="3">
        <v>16.100000000000001</v>
      </c>
      <c r="Q20" s="3">
        <v>14</v>
      </c>
      <c r="R20" s="3">
        <v>7</v>
      </c>
      <c r="S20" s="3">
        <v>5</v>
      </c>
      <c r="T20" s="3">
        <v>1</v>
      </c>
      <c r="U20" s="3">
        <v>3</v>
      </c>
      <c r="V20" s="3">
        <v>0</v>
      </c>
      <c r="W20" s="3">
        <v>10</v>
      </c>
      <c r="X20" s="3">
        <v>0</v>
      </c>
      <c r="Y20" s="3">
        <v>0</v>
      </c>
      <c r="Z20" s="3">
        <v>0</v>
      </c>
      <c r="AA20" s="3">
        <v>62</v>
      </c>
      <c r="AB20" s="3">
        <v>151</v>
      </c>
      <c r="AC20" s="3">
        <v>3.29</v>
      </c>
      <c r="AD20" s="3">
        <v>1.0409999999999999</v>
      </c>
      <c r="AE20" s="3">
        <v>7.7</v>
      </c>
      <c r="AF20" s="3">
        <v>0.6</v>
      </c>
      <c r="AG20" s="3">
        <v>1.7</v>
      </c>
      <c r="AH20" s="3">
        <v>5.5</v>
      </c>
      <c r="AI20" s="3">
        <v>3.33</v>
      </c>
      <c r="AJ20" s="3" t="s">
        <v>37</v>
      </c>
      <c r="AK20" s="3" t="s">
        <v>334</v>
      </c>
      <c r="AL20" s="3" t="s">
        <v>838</v>
      </c>
      <c r="AM20" s="3" t="s">
        <v>821</v>
      </c>
      <c r="AN20" s="91" t="str">
        <f>IFERROR(VLOOKUP(B20,'CLE Salary 2024'!A19:I51,7,FALSE), "No salary data")</f>
        <v>No salary data</v>
      </c>
    </row>
    <row r="21" spans="1:40" x14ac:dyDescent="0.25">
      <c r="A21" s="4">
        <v>20</v>
      </c>
      <c r="B21" s="4" t="s">
        <v>335</v>
      </c>
      <c r="C21" s="4">
        <v>31</v>
      </c>
      <c r="D21" s="4" t="s">
        <v>37</v>
      </c>
      <c r="E21" s="4">
        <v>-0.7</v>
      </c>
      <c r="F21" s="4">
        <v>1</v>
      </c>
      <c r="G21" s="4">
        <v>0</v>
      </c>
      <c r="H21" s="4">
        <v>1</v>
      </c>
      <c r="I21" s="4">
        <v>8.36</v>
      </c>
      <c r="J21" s="4">
        <v>13</v>
      </c>
      <c r="K21" s="4">
        <v>0</v>
      </c>
      <c r="L21" s="4">
        <v>3</v>
      </c>
      <c r="M21" s="4">
        <v>0</v>
      </c>
      <c r="N21" s="4">
        <v>0</v>
      </c>
      <c r="O21" s="4">
        <v>0</v>
      </c>
      <c r="P21" s="4">
        <v>14</v>
      </c>
      <c r="Q21" s="4">
        <v>16</v>
      </c>
      <c r="R21" s="4">
        <v>14</v>
      </c>
      <c r="S21" s="4">
        <v>13</v>
      </c>
      <c r="T21" s="4">
        <v>2</v>
      </c>
      <c r="U21" s="4">
        <v>9</v>
      </c>
      <c r="V21" s="4">
        <v>1</v>
      </c>
      <c r="W21" s="4">
        <v>18</v>
      </c>
      <c r="X21" s="4">
        <v>3</v>
      </c>
      <c r="Y21" s="4">
        <v>1</v>
      </c>
      <c r="Z21" s="4">
        <v>0</v>
      </c>
      <c r="AA21" s="4">
        <v>68</v>
      </c>
      <c r="AB21" s="4">
        <v>50</v>
      </c>
      <c r="AC21" s="4">
        <v>5.0199999999999996</v>
      </c>
      <c r="AD21" s="4">
        <v>1.786</v>
      </c>
      <c r="AE21" s="4">
        <v>10.3</v>
      </c>
      <c r="AF21" s="4">
        <v>1.3</v>
      </c>
      <c r="AG21" s="4">
        <v>5.8</v>
      </c>
      <c r="AH21" s="4">
        <v>11.6</v>
      </c>
      <c r="AI21" s="4">
        <v>2</v>
      </c>
      <c r="AJ21" s="4" t="s">
        <v>37</v>
      </c>
      <c r="AK21" s="4" t="s">
        <v>336</v>
      </c>
      <c r="AL21" s="4" t="s">
        <v>838</v>
      </c>
      <c r="AM21" s="4" t="s">
        <v>821</v>
      </c>
      <c r="AN21" s="89" t="str">
        <f>IFERROR(VLOOKUP(B21,'CLE Salary 2024'!A20:I52,7,FALSE), "No salary data")</f>
        <v>No salary data</v>
      </c>
    </row>
    <row r="22" spans="1:40" x14ac:dyDescent="0.25">
      <c r="A22" s="3">
        <v>21</v>
      </c>
      <c r="B22" s="3" t="s">
        <v>337</v>
      </c>
      <c r="C22" s="3">
        <v>26</v>
      </c>
      <c r="D22" s="3" t="s">
        <v>37</v>
      </c>
      <c r="E22" s="3">
        <v>0.6</v>
      </c>
      <c r="F22" s="3">
        <v>0</v>
      </c>
      <c r="G22" s="3">
        <v>0</v>
      </c>
      <c r="H22" s="3"/>
      <c r="I22" s="3">
        <v>0</v>
      </c>
      <c r="J22" s="3">
        <v>8</v>
      </c>
      <c r="K22" s="3">
        <v>0</v>
      </c>
      <c r="L22" s="3">
        <v>4</v>
      </c>
      <c r="M22" s="3">
        <v>0</v>
      </c>
      <c r="N22" s="3">
        <v>0</v>
      </c>
      <c r="O22" s="3">
        <v>1</v>
      </c>
      <c r="P22" s="3">
        <v>12.2</v>
      </c>
      <c r="Q22" s="3">
        <v>6</v>
      </c>
      <c r="R22" s="3">
        <v>0</v>
      </c>
      <c r="S22" s="3">
        <v>0</v>
      </c>
      <c r="T22" s="3">
        <v>0</v>
      </c>
      <c r="U22" s="3">
        <v>4</v>
      </c>
      <c r="V22" s="3">
        <v>0</v>
      </c>
      <c r="W22" s="3">
        <v>19</v>
      </c>
      <c r="X22" s="3">
        <v>0</v>
      </c>
      <c r="Y22" s="3">
        <v>0</v>
      </c>
      <c r="Z22" s="3">
        <v>1</v>
      </c>
      <c r="AA22" s="3">
        <v>47</v>
      </c>
      <c r="AB22" s="3"/>
      <c r="AC22" s="3">
        <v>1.1100000000000001</v>
      </c>
      <c r="AD22" s="3">
        <v>0.78900000000000003</v>
      </c>
      <c r="AE22" s="3">
        <v>4.3</v>
      </c>
      <c r="AF22" s="3">
        <v>0</v>
      </c>
      <c r="AG22" s="3">
        <v>2.8</v>
      </c>
      <c r="AH22" s="3">
        <v>13.5</v>
      </c>
      <c r="AI22" s="3">
        <v>4.75</v>
      </c>
      <c r="AJ22" s="3" t="s">
        <v>37</v>
      </c>
      <c r="AK22" s="3" t="s">
        <v>338</v>
      </c>
      <c r="AL22" s="3" t="s">
        <v>838</v>
      </c>
      <c r="AM22" s="3" t="s">
        <v>821</v>
      </c>
      <c r="AN22" s="91">
        <f>IFERROR(VLOOKUP(B22,'CLE Salary 2024'!A21:I53,7,FALSE), "No salary data")</f>
        <v>127296</v>
      </c>
    </row>
    <row r="23" spans="1:40" x14ac:dyDescent="0.25">
      <c r="A23" s="4">
        <v>22</v>
      </c>
      <c r="B23" s="4" t="s">
        <v>339</v>
      </c>
      <c r="C23" s="4">
        <v>29</v>
      </c>
      <c r="D23" s="4" t="s">
        <v>37</v>
      </c>
      <c r="E23" s="4">
        <v>0.7</v>
      </c>
      <c r="F23" s="4">
        <v>2</v>
      </c>
      <c r="G23" s="4">
        <v>0</v>
      </c>
      <c r="H23" s="4">
        <v>1</v>
      </c>
      <c r="I23" s="4">
        <v>0</v>
      </c>
      <c r="J23" s="4">
        <v>2</v>
      </c>
      <c r="K23" s="4">
        <v>2</v>
      </c>
      <c r="L23" s="4">
        <v>0</v>
      </c>
      <c r="M23" s="4">
        <v>0</v>
      </c>
      <c r="N23" s="4">
        <v>0</v>
      </c>
      <c r="O23" s="4">
        <v>0</v>
      </c>
      <c r="P23" s="4">
        <v>12</v>
      </c>
      <c r="Q23" s="4">
        <v>10</v>
      </c>
      <c r="R23" s="4">
        <v>0</v>
      </c>
      <c r="S23" s="4">
        <v>0</v>
      </c>
      <c r="T23" s="4">
        <v>0</v>
      </c>
      <c r="U23" s="4">
        <v>1</v>
      </c>
      <c r="V23" s="4">
        <v>0</v>
      </c>
      <c r="W23" s="4">
        <v>20</v>
      </c>
      <c r="X23" s="4">
        <v>0</v>
      </c>
      <c r="Y23" s="4">
        <v>0</v>
      </c>
      <c r="Z23" s="4">
        <v>0</v>
      </c>
      <c r="AA23" s="4">
        <v>45</v>
      </c>
      <c r="AB23" s="4"/>
      <c r="AC23" s="4">
        <v>0.08</v>
      </c>
      <c r="AD23" s="4">
        <v>0.91700000000000004</v>
      </c>
      <c r="AE23" s="4">
        <v>7.5</v>
      </c>
      <c r="AF23" s="4">
        <v>0</v>
      </c>
      <c r="AG23" s="4">
        <v>0.8</v>
      </c>
      <c r="AH23" s="4">
        <v>15</v>
      </c>
      <c r="AI23" s="4">
        <v>20</v>
      </c>
      <c r="AJ23" s="4" t="s">
        <v>37</v>
      </c>
      <c r="AK23" s="4" t="s">
        <v>340</v>
      </c>
      <c r="AL23" s="4" t="s">
        <v>838</v>
      </c>
      <c r="AM23" s="4" t="s">
        <v>821</v>
      </c>
      <c r="AN23" s="89" t="str">
        <f>IFERROR(VLOOKUP(B23,'CLE Salary 2024'!A22:I54,7,FALSE), "No salary data")</f>
        <v>No salary data</v>
      </c>
    </row>
    <row r="24" spans="1:40" x14ac:dyDescent="0.25">
      <c r="A24" s="3">
        <v>23</v>
      </c>
      <c r="B24" s="3" t="s">
        <v>341</v>
      </c>
      <c r="C24" s="3">
        <v>29</v>
      </c>
      <c r="D24" s="3" t="s">
        <v>37</v>
      </c>
      <c r="E24" s="3">
        <v>0.2</v>
      </c>
      <c r="F24" s="3">
        <v>0</v>
      </c>
      <c r="G24" s="3">
        <v>0</v>
      </c>
      <c r="H24" s="3"/>
      <c r="I24" s="3">
        <v>2.31</v>
      </c>
      <c r="J24" s="3">
        <v>10</v>
      </c>
      <c r="K24" s="3">
        <v>0</v>
      </c>
      <c r="L24" s="3">
        <v>6</v>
      </c>
      <c r="M24" s="3">
        <v>0</v>
      </c>
      <c r="N24" s="3">
        <v>0</v>
      </c>
      <c r="O24" s="3">
        <v>0</v>
      </c>
      <c r="P24" s="3">
        <v>11.2</v>
      </c>
      <c r="Q24" s="3">
        <v>11</v>
      </c>
      <c r="R24" s="3">
        <v>3</v>
      </c>
      <c r="S24" s="3">
        <v>3</v>
      </c>
      <c r="T24" s="3">
        <v>1</v>
      </c>
      <c r="U24" s="3">
        <v>3</v>
      </c>
      <c r="V24" s="3">
        <v>0</v>
      </c>
      <c r="W24" s="3">
        <v>9</v>
      </c>
      <c r="X24" s="3">
        <v>1</v>
      </c>
      <c r="Y24" s="3">
        <v>0</v>
      </c>
      <c r="Z24" s="3">
        <v>0</v>
      </c>
      <c r="AA24" s="3">
        <v>47</v>
      </c>
      <c r="AB24" s="3">
        <v>181</v>
      </c>
      <c r="AC24" s="3">
        <v>3.77</v>
      </c>
      <c r="AD24" s="3">
        <v>1.2</v>
      </c>
      <c r="AE24" s="3">
        <v>8.5</v>
      </c>
      <c r="AF24" s="3">
        <v>0.8</v>
      </c>
      <c r="AG24" s="3">
        <v>2.2999999999999998</v>
      </c>
      <c r="AH24" s="3">
        <v>6.9</v>
      </c>
      <c r="AI24" s="3">
        <v>3</v>
      </c>
      <c r="AJ24" s="3" t="s">
        <v>37</v>
      </c>
      <c r="AK24" s="3" t="s">
        <v>342</v>
      </c>
      <c r="AL24" s="3" t="s">
        <v>838</v>
      </c>
      <c r="AM24" s="3" t="s">
        <v>821</v>
      </c>
      <c r="AN24" s="91" t="str">
        <f>IFERROR(VLOOKUP(B24,'CLE Salary 2024'!A23:I55,7,FALSE), "No salary data")</f>
        <v>No salary data</v>
      </c>
    </row>
    <row r="25" spans="1:40" x14ac:dyDescent="0.25">
      <c r="A25" s="4">
        <v>24</v>
      </c>
      <c r="B25" s="4" t="s">
        <v>343</v>
      </c>
      <c r="C25" s="4">
        <v>23</v>
      </c>
      <c r="D25" s="4" t="s">
        <v>37</v>
      </c>
      <c r="E25" s="4">
        <v>0.3</v>
      </c>
      <c r="F25" s="4">
        <v>1</v>
      </c>
      <c r="G25" s="4">
        <v>0</v>
      </c>
      <c r="H25" s="4">
        <v>1</v>
      </c>
      <c r="I25" s="4">
        <v>0</v>
      </c>
      <c r="J25" s="4">
        <v>9</v>
      </c>
      <c r="K25" s="4">
        <v>1</v>
      </c>
      <c r="L25" s="4">
        <v>3</v>
      </c>
      <c r="M25" s="4">
        <v>0</v>
      </c>
      <c r="N25" s="4">
        <v>0</v>
      </c>
      <c r="O25" s="4">
        <v>0</v>
      </c>
      <c r="P25" s="4">
        <v>8.1999999999999993</v>
      </c>
      <c r="Q25" s="4">
        <v>1</v>
      </c>
      <c r="R25" s="4">
        <v>1</v>
      </c>
      <c r="S25" s="4">
        <v>0</v>
      </c>
      <c r="T25" s="4">
        <v>0</v>
      </c>
      <c r="U25" s="4">
        <v>5</v>
      </c>
      <c r="V25" s="4">
        <v>0</v>
      </c>
      <c r="W25" s="4">
        <v>6</v>
      </c>
      <c r="X25" s="4">
        <v>0</v>
      </c>
      <c r="Y25" s="4">
        <v>0</v>
      </c>
      <c r="Z25" s="4">
        <v>1</v>
      </c>
      <c r="AA25" s="4">
        <v>32</v>
      </c>
      <c r="AB25" s="4"/>
      <c r="AC25" s="4">
        <v>3.51</v>
      </c>
      <c r="AD25" s="4">
        <v>0.69199999999999995</v>
      </c>
      <c r="AE25" s="4">
        <v>1</v>
      </c>
      <c r="AF25" s="4">
        <v>0</v>
      </c>
      <c r="AG25" s="4">
        <v>5.2</v>
      </c>
      <c r="AH25" s="4">
        <v>6.2</v>
      </c>
      <c r="AI25" s="4">
        <v>1.2</v>
      </c>
      <c r="AJ25" s="4" t="s">
        <v>37</v>
      </c>
      <c r="AK25" s="4" t="s">
        <v>344</v>
      </c>
      <c r="AL25" s="4" t="s">
        <v>838</v>
      </c>
      <c r="AM25" s="4" t="s">
        <v>821</v>
      </c>
      <c r="AN25" s="89">
        <f>IFERROR(VLOOKUP(B25,'CLE Salary 2024'!A24:I56,7,FALSE), "No salary data")</f>
        <v>67626</v>
      </c>
    </row>
    <row r="26" spans="1:40" x14ac:dyDescent="0.25">
      <c r="A26" s="3">
        <v>25</v>
      </c>
      <c r="B26" s="3" t="s">
        <v>345</v>
      </c>
      <c r="C26" s="3">
        <v>26</v>
      </c>
      <c r="D26" s="3" t="s">
        <v>37</v>
      </c>
      <c r="E26" s="3">
        <v>0.2</v>
      </c>
      <c r="F26" s="3">
        <v>0</v>
      </c>
      <c r="G26" s="3">
        <v>0</v>
      </c>
      <c r="H26" s="3"/>
      <c r="I26" s="3">
        <v>2.25</v>
      </c>
      <c r="J26" s="3">
        <v>3</v>
      </c>
      <c r="K26" s="3">
        <v>0</v>
      </c>
      <c r="L26" s="3">
        <v>2</v>
      </c>
      <c r="M26" s="3">
        <v>0</v>
      </c>
      <c r="N26" s="3">
        <v>0</v>
      </c>
      <c r="O26" s="3">
        <v>0</v>
      </c>
      <c r="P26" s="3">
        <v>8</v>
      </c>
      <c r="Q26" s="3">
        <v>4</v>
      </c>
      <c r="R26" s="3">
        <v>2</v>
      </c>
      <c r="S26" s="3">
        <v>2</v>
      </c>
      <c r="T26" s="3">
        <v>0</v>
      </c>
      <c r="U26" s="3">
        <v>5</v>
      </c>
      <c r="V26" s="3">
        <v>0</v>
      </c>
      <c r="W26" s="3">
        <v>8</v>
      </c>
      <c r="X26" s="3">
        <v>0</v>
      </c>
      <c r="Y26" s="3">
        <v>0</v>
      </c>
      <c r="Z26" s="3">
        <v>1</v>
      </c>
      <c r="AA26" s="3">
        <v>32</v>
      </c>
      <c r="AB26" s="3">
        <v>189</v>
      </c>
      <c r="AC26" s="3">
        <v>3.04</v>
      </c>
      <c r="AD26" s="3">
        <v>1.125</v>
      </c>
      <c r="AE26" s="3">
        <v>4.5</v>
      </c>
      <c r="AF26" s="3">
        <v>0</v>
      </c>
      <c r="AG26" s="3">
        <v>5.6</v>
      </c>
      <c r="AH26" s="3">
        <v>9</v>
      </c>
      <c r="AI26" s="3">
        <v>1.6</v>
      </c>
      <c r="AJ26" s="3" t="s">
        <v>37</v>
      </c>
      <c r="AK26" s="3" t="s">
        <v>346</v>
      </c>
      <c r="AL26" s="3" t="s">
        <v>838</v>
      </c>
      <c r="AM26" s="3" t="s">
        <v>821</v>
      </c>
      <c r="AN26" s="91" t="str">
        <f>IFERROR(VLOOKUP(B26,'CLE Salary 2024'!A25:I57,7,FALSE), "No salary data")</f>
        <v>No salary data</v>
      </c>
    </row>
    <row r="27" spans="1:40" x14ac:dyDescent="0.25">
      <c r="A27" s="4">
        <v>26</v>
      </c>
      <c r="B27" s="4" t="s">
        <v>347</v>
      </c>
      <c r="C27" s="4">
        <v>28</v>
      </c>
      <c r="D27" s="4" t="s">
        <v>37</v>
      </c>
      <c r="E27" s="4">
        <v>-0.2</v>
      </c>
      <c r="F27" s="4">
        <v>0</v>
      </c>
      <c r="G27" s="4">
        <v>0</v>
      </c>
      <c r="H27" s="4"/>
      <c r="I27" s="4">
        <v>9</v>
      </c>
      <c r="J27" s="4">
        <v>2</v>
      </c>
      <c r="K27" s="4">
        <v>0</v>
      </c>
      <c r="L27" s="4">
        <v>1</v>
      </c>
      <c r="M27" s="4">
        <v>0</v>
      </c>
      <c r="N27" s="4">
        <v>0</v>
      </c>
      <c r="O27" s="4">
        <v>0</v>
      </c>
      <c r="P27" s="4">
        <v>6</v>
      </c>
      <c r="Q27" s="4">
        <v>9</v>
      </c>
      <c r="R27" s="4">
        <v>6</v>
      </c>
      <c r="S27" s="4">
        <v>6</v>
      </c>
      <c r="T27" s="4">
        <v>2</v>
      </c>
      <c r="U27" s="4">
        <v>6</v>
      </c>
      <c r="V27" s="4">
        <v>0</v>
      </c>
      <c r="W27" s="4">
        <v>1</v>
      </c>
      <c r="X27" s="4">
        <v>0</v>
      </c>
      <c r="Y27" s="4">
        <v>0</v>
      </c>
      <c r="Z27" s="4">
        <v>1</v>
      </c>
      <c r="AA27" s="4">
        <v>30</v>
      </c>
      <c r="AB27" s="4">
        <v>48</v>
      </c>
      <c r="AC27" s="4">
        <v>10.17</v>
      </c>
      <c r="AD27" s="4">
        <v>2.5</v>
      </c>
      <c r="AE27" s="4">
        <v>13.5</v>
      </c>
      <c r="AF27" s="4">
        <v>3</v>
      </c>
      <c r="AG27" s="4">
        <v>9</v>
      </c>
      <c r="AH27" s="4">
        <v>1.5</v>
      </c>
      <c r="AI27" s="4">
        <v>0.17</v>
      </c>
      <c r="AJ27" s="4" t="s">
        <v>37</v>
      </c>
      <c r="AK27" s="4" t="s">
        <v>348</v>
      </c>
      <c r="AL27" s="4" t="s">
        <v>838</v>
      </c>
      <c r="AM27" s="4" t="s">
        <v>821</v>
      </c>
      <c r="AN27" s="89" t="str">
        <f>IFERROR(VLOOKUP(B27,'CLE Salary 2024'!A26:I58,7,FALSE), "No salary data")</f>
        <v>No salary data</v>
      </c>
    </row>
    <row r="28" spans="1:40" x14ac:dyDescent="0.25">
      <c r="A28" s="3">
        <v>27</v>
      </c>
      <c r="B28" s="3" t="s">
        <v>292</v>
      </c>
      <c r="C28" s="3">
        <v>27</v>
      </c>
      <c r="D28" s="3" t="s">
        <v>37</v>
      </c>
      <c r="E28" s="3">
        <v>-0.4</v>
      </c>
      <c r="F28" s="3">
        <v>0</v>
      </c>
      <c r="G28" s="3">
        <v>1</v>
      </c>
      <c r="H28" s="3">
        <v>0</v>
      </c>
      <c r="I28" s="3">
        <v>9</v>
      </c>
      <c r="J28" s="3">
        <v>2</v>
      </c>
      <c r="K28" s="3">
        <v>1</v>
      </c>
      <c r="L28" s="3">
        <v>1</v>
      </c>
      <c r="M28" s="3">
        <v>0</v>
      </c>
      <c r="N28" s="3">
        <v>0</v>
      </c>
      <c r="O28" s="3">
        <v>0</v>
      </c>
      <c r="P28" s="3">
        <v>5</v>
      </c>
      <c r="Q28" s="3">
        <v>11</v>
      </c>
      <c r="R28" s="3">
        <v>8</v>
      </c>
      <c r="S28" s="3">
        <v>5</v>
      </c>
      <c r="T28" s="3">
        <v>3</v>
      </c>
      <c r="U28" s="3">
        <v>3</v>
      </c>
      <c r="V28" s="3">
        <v>0</v>
      </c>
      <c r="W28" s="3">
        <v>6</v>
      </c>
      <c r="X28" s="3">
        <v>0</v>
      </c>
      <c r="Y28" s="3">
        <v>0</v>
      </c>
      <c r="Z28" s="3">
        <v>1</v>
      </c>
      <c r="AA28" s="3">
        <v>30</v>
      </c>
      <c r="AB28" s="3">
        <v>49</v>
      </c>
      <c r="AC28" s="3">
        <v>10.37</v>
      </c>
      <c r="AD28" s="3">
        <v>2.8</v>
      </c>
      <c r="AE28" s="3">
        <v>19.8</v>
      </c>
      <c r="AF28" s="3">
        <v>5.4</v>
      </c>
      <c r="AG28" s="3">
        <v>5.4</v>
      </c>
      <c r="AH28" s="3">
        <v>10.8</v>
      </c>
      <c r="AI28" s="3">
        <v>2</v>
      </c>
      <c r="AJ28" s="3" t="s">
        <v>37</v>
      </c>
      <c r="AK28" s="3" t="s">
        <v>294</v>
      </c>
      <c r="AL28" s="3" t="s">
        <v>838</v>
      </c>
      <c r="AM28" s="3" t="s">
        <v>821</v>
      </c>
      <c r="AN28" s="91" t="str">
        <f>IFERROR(VLOOKUP(B28,'CLE Salary 2024'!A27:I59,7,FALSE), "No salary data")</f>
        <v>No salary data</v>
      </c>
    </row>
    <row r="29" spans="1:40" x14ac:dyDescent="0.25">
      <c r="A29" s="4">
        <v>28</v>
      </c>
      <c r="B29" s="4" t="s">
        <v>349</v>
      </c>
      <c r="C29" s="4">
        <v>33</v>
      </c>
      <c r="D29" s="4" t="s">
        <v>37</v>
      </c>
      <c r="E29" s="4">
        <v>-0.2</v>
      </c>
      <c r="F29" s="4">
        <v>0</v>
      </c>
      <c r="G29" s="4">
        <v>0</v>
      </c>
      <c r="H29" s="4"/>
      <c r="I29" s="4">
        <v>10.38</v>
      </c>
      <c r="J29" s="4">
        <v>3</v>
      </c>
      <c r="K29" s="4">
        <v>0</v>
      </c>
      <c r="L29" s="4">
        <v>3</v>
      </c>
      <c r="M29" s="4">
        <v>0</v>
      </c>
      <c r="N29" s="4">
        <v>0</v>
      </c>
      <c r="O29" s="4">
        <v>0</v>
      </c>
      <c r="P29" s="4">
        <v>4.0999999999999996</v>
      </c>
      <c r="Q29" s="4">
        <v>9</v>
      </c>
      <c r="R29" s="4">
        <v>5</v>
      </c>
      <c r="S29" s="4">
        <v>5</v>
      </c>
      <c r="T29" s="4">
        <v>2</v>
      </c>
      <c r="U29" s="4">
        <v>1</v>
      </c>
      <c r="V29" s="4">
        <v>0</v>
      </c>
      <c r="W29" s="4">
        <v>4</v>
      </c>
      <c r="X29" s="4">
        <v>0</v>
      </c>
      <c r="Y29" s="4">
        <v>0</v>
      </c>
      <c r="Z29" s="4">
        <v>1</v>
      </c>
      <c r="AA29" s="4">
        <v>22</v>
      </c>
      <c r="AB29" s="4">
        <v>43</v>
      </c>
      <c r="AC29" s="4">
        <v>8.01</v>
      </c>
      <c r="AD29" s="4">
        <v>2.3079999999999998</v>
      </c>
      <c r="AE29" s="4">
        <v>18.7</v>
      </c>
      <c r="AF29" s="4">
        <v>4.2</v>
      </c>
      <c r="AG29" s="4">
        <v>2.1</v>
      </c>
      <c r="AH29" s="4">
        <v>8.3000000000000007</v>
      </c>
      <c r="AI29" s="4">
        <v>4</v>
      </c>
      <c r="AJ29" s="4" t="s">
        <v>37</v>
      </c>
      <c r="AK29" s="4" t="s">
        <v>350</v>
      </c>
      <c r="AL29" s="4" t="s">
        <v>838</v>
      </c>
      <c r="AM29" s="4" t="s">
        <v>821</v>
      </c>
      <c r="AN29" s="89" t="str">
        <f>IFERROR(VLOOKUP(B29,'CLE Salary 2024'!A28:I60,7,FALSE), "No salary data")</f>
        <v>No salary data</v>
      </c>
    </row>
    <row r="30" spans="1:40" x14ac:dyDescent="0.25">
      <c r="A30" s="3">
        <v>29</v>
      </c>
      <c r="B30" s="3" t="s">
        <v>351</v>
      </c>
      <c r="C30" s="3">
        <v>31</v>
      </c>
      <c r="D30" s="3" t="s">
        <v>37</v>
      </c>
      <c r="E30" s="3">
        <v>0.2</v>
      </c>
      <c r="F30" s="3">
        <v>0</v>
      </c>
      <c r="G30" s="3">
        <v>0</v>
      </c>
      <c r="H30" s="3"/>
      <c r="I30" s="3">
        <v>0</v>
      </c>
      <c r="J30" s="3">
        <v>2</v>
      </c>
      <c r="K30" s="3">
        <v>0</v>
      </c>
      <c r="L30" s="3">
        <v>1</v>
      </c>
      <c r="M30" s="3">
        <v>0</v>
      </c>
      <c r="N30" s="3">
        <v>0</v>
      </c>
      <c r="O30" s="3">
        <v>0</v>
      </c>
      <c r="P30" s="3">
        <v>4</v>
      </c>
      <c r="Q30" s="3">
        <v>4</v>
      </c>
      <c r="R30" s="3">
        <v>0</v>
      </c>
      <c r="S30" s="3">
        <v>0</v>
      </c>
      <c r="T30" s="3">
        <v>0</v>
      </c>
      <c r="U30" s="3">
        <v>0</v>
      </c>
      <c r="V30" s="3">
        <v>0</v>
      </c>
      <c r="W30" s="3">
        <v>5</v>
      </c>
      <c r="X30" s="3">
        <v>0</v>
      </c>
      <c r="Y30" s="3">
        <v>0</v>
      </c>
      <c r="Z30" s="3">
        <v>0</v>
      </c>
      <c r="AA30" s="3">
        <v>15</v>
      </c>
      <c r="AB30" s="3"/>
      <c r="AC30" s="3">
        <v>0.67</v>
      </c>
      <c r="AD30" s="3">
        <v>1</v>
      </c>
      <c r="AE30" s="3">
        <v>9</v>
      </c>
      <c r="AF30" s="3">
        <v>0</v>
      </c>
      <c r="AG30" s="3">
        <v>0</v>
      </c>
      <c r="AH30" s="3">
        <v>11.3</v>
      </c>
      <c r="AI30" s="3"/>
      <c r="AJ30" s="3" t="s">
        <v>37</v>
      </c>
      <c r="AK30" s="3" t="s">
        <v>352</v>
      </c>
      <c r="AL30" s="3" t="s">
        <v>838</v>
      </c>
      <c r="AM30" s="3" t="s">
        <v>821</v>
      </c>
      <c r="AN30" s="91">
        <f>IFERROR(VLOOKUP(B30,'CLE Salary 2024'!A29:I61,7,FALSE), "No salary data")</f>
        <v>108060</v>
      </c>
    </row>
    <row r="31" spans="1:40" x14ac:dyDescent="0.25">
      <c r="A31" s="5">
        <v>30</v>
      </c>
      <c r="B31" s="5" t="s">
        <v>275</v>
      </c>
      <c r="C31" s="5">
        <v>31</v>
      </c>
      <c r="D31" s="5" t="s">
        <v>37</v>
      </c>
      <c r="E31" s="5">
        <v>0.1</v>
      </c>
      <c r="F31" s="5">
        <v>0</v>
      </c>
      <c r="G31" s="5">
        <v>0</v>
      </c>
      <c r="H31" s="5"/>
      <c r="I31" s="5">
        <v>0</v>
      </c>
      <c r="J31" s="5">
        <v>1</v>
      </c>
      <c r="K31" s="5">
        <v>0</v>
      </c>
      <c r="L31" s="5">
        <v>1</v>
      </c>
      <c r="M31" s="5">
        <v>0</v>
      </c>
      <c r="N31" s="5">
        <v>0</v>
      </c>
      <c r="O31" s="5">
        <v>0</v>
      </c>
      <c r="P31" s="5">
        <v>2</v>
      </c>
      <c r="Q31" s="5">
        <v>0</v>
      </c>
      <c r="R31" s="5">
        <v>0</v>
      </c>
      <c r="S31" s="5">
        <v>0</v>
      </c>
      <c r="T31" s="5">
        <v>0</v>
      </c>
      <c r="U31" s="5">
        <v>1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6</v>
      </c>
      <c r="AB31" s="5"/>
      <c r="AC31" s="5">
        <v>4.67</v>
      </c>
      <c r="AD31" s="5">
        <v>0.5</v>
      </c>
      <c r="AE31" s="5">
        <v>0</v>
      </c>
      <c r="AF31" s="5">
        <v>0</v>
      </c>
      <c r="AG31" s="5">
        <v>4.5</v>
      </c>
      <c r="AH31" s="5">
        <v>0</v>
      </c>
      <c r="AI31" s="5">
        <v>0</v>
      </c>
      <c r="AJ31" s="5" t="s">
        <v>37</v>
      </c>
      <c r="AK31" s="5" t="s">
        <v>277</v>
      </c>
      <c r="AL31" s="5" t="s">
        <v>838</v>
      </c>
      <c r="AM31" s="5" t="s">
        <v>821</v>
      </c>
      <c r="AN31" s="102" t="str">
        <f>IFERROR(VLOOKUP(B31,'CLE Salary 2024'!A30:I62,7,FALSE), "No salary data")</f>
        <v>No salary data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2F6767-34CE-4B91-BA38-DB18093E9FBB}">
  <sheetPr codeName="Sheet6"/>
  <dimension ref="A1:L33"/>
  <sheetViews>
    <sheetView topLeftCell="O1" zoomScale="104" zoomScaleNormal="95" workbookViewId="0">
      <selection activeCell="H10" sqref="H10"/>
    </sheetView>
  </sheetViews>
  <sheetFormatPr defaultRowHeight="15" x14ac:dyDescent="0.25"/>
  <cols>
    <col min="1" max="1" width="17.140625" bestFit="1" customWidth="1"/>
    <col min="4" max="4" width="19.42578125" bestFit="1" customWidth="1"/>
    <col min="5" max="5" width="12.7109375" style="1" bestFit="1" customWidth="1"/>
    <col min="6" max="6" width="13.28515625" customWidth="1"/>
    <col min="7" max="7" width="11.5703125" style="1" customWidth="1"/>
    <col min="8" max="8" width="14.140625" style="1" customWidth="1"/>
    <col min="9" max="9" width="14.85546875" customWidth="1"/>
    <col min="12" max="12" width="14.28515625" bestFit="1" customWidth="1"/>
  </cols>
  <sheetData>
    <row r="1" spans="1:12" x14ac:dyDescent="0.25">
      <c r="A1" s="33" t="s">
        <v>1</v>
      </c>
      <c r="B1" s="33" t="s">
        <v>3</v>
      </c>
      <c r="C1" s="33" t="s">
        <v>830</v>
      </c>
      <c r="D1" s="33" t="s">
        <v>718</v>
      </c>
      <c r="E1" s="34" t="s">
        <v>719</v>
      </c>
      <c r="F1" s="33" t="s">
        <v>720</v>
      </c>
      <c r="G1" s="34" t="s">
        <v>721</v>
      </c>
      <c r="H1" s="34" t="s">
        <v>722</v>
      </c>
      <c r="I1" s="33" t="s">
        <v>723</v>
      </c>
      <c r="L1" s="2" t="s">
        <v>833</v>
      </c>
    </row>
    <row r="2" spans="1:12" x14ac:dyDescent="0.25">
      <c r="A2" s="86" t="s">
        <v>831</v>
      </c>
      <c r="B2" s="86" t="s">
        <v>11</v>
      </c>
      <c r="C2" s="86">
        <v>31</v>
      </c>
      <c r="D2" s="86" t="s">
        <v>725</v>
      </c>
      <c r="E2" s="87">
        <v>20142857</v>
      </c>
      <c r="F2" s="88">
        <v>8.5000000000000006E-2</v>
      </c>
      <c r="G2" s="87">
        <v>17000000</v>
      </c>
      <c r="H2" s="87">
        <v>17000000</v>
      </c>
      <c r="I2" s="86">
        <v>2029</v>
      </c>
    </row>
    <row r="3" spans="1:12" x14ac:dyDescent="0.25">
      <c r="A3" s="4" t="s">
        <v>748</v>
      </c>
      <c r="B3" s="4" t="s">
        <v>10</v>
      </c>
      <c r="C3" s="4">
        <v>25</v>
      </c>
      <c r="D3" s="4" t="s">
        <v>749</v>
      </c>
      <c r="E3" s="89">
        <v>15214286</v>
      </c>
      <c r="F3" s="90">
        <v>6.4199999999999993E-2</v>
      </c>
      <c r="G3" s="89">
        <v>5050000</v>
      </c>
      <c r="H3" s="89">
        <v>5621429</v>
      </c>
      <c r="I3" s="4">
        <v>2031</v>
      </c>
    </row>
    <row r="4" spans="1:12" x14ac:dyDescent="0.25">
      <c r="A4" s="3" t="s">
        <v>750</v>
      </c>
      <c r="B4" s="3" t="s">
        <v>40</v>
      </c>
      <c r="C4" s="3">
        <v>27</v>
      </c>
      <c r="D4" s="3" t="s">
        <v>751</v>
      </c>
      <c r="E4" s="91">
        <v>6500000</v>
      </c>
      <c r="F4" s="92">
        <v>2.7400000000000001E-2</v>
      </c>
      <c r="G4" s="91">
        <v>6500000</v>
      </c>
      <c r="H4" s="91">
        <v>6500000</v>
      </c>
      <c r="I4" s="3"/>
    </row>
    <row r="5" spans="1:12" x14ac:dyDescent="0.25">
      <c r="A5" s="4" t="s">
        <v>275</v>
      </c>
      <c r="B5" s="4" t="s">
        <v>35</v>
      </c>
      <c r="C5" s="4">
        <v>31</v>
      </c>
      <c r="D5" s="4" t="s">
        <v>725</v>
      </c>
      <c r="E5" s="89">
        <v>4000000</v>
      </c>
      <c r="F5" s="90">
        <v>1.6899999999999998E-2</v>
      </c>
      <c r="G5" s="89">
        <v>4000000</v>
      </c>
      <c r="H5" s="89">
        <v>4000000</v>
      </c>
      <c r="I5" s="4"/>
    </row>
    <row r="6" spans="1:12" x14ac:dyDescent="0.25">
      <c r="A6" s="3" t="s">
        <v>311</v>
      </c>
      <c r="B6" s="3" t="s">
        <v>171</v>
      </c>
      <c r="C6" s="3">
        <v>26</v>
      </c>
      <c r="D6" s="3" t="s">
        <v>749</v>
      </c>
      <c r="E6" s="91">
        <v>4000000</v>
      </c>
      <c r="F6" s="92">
        <v>1.6899999999999998E-2</v>
      </c>
      <c r="G6" s="91">
        <v>2850000</v>
      </c>
      <c r="H6" s="91">
        <v>2900000</v>
      </c>
      <c r="I6" s="3">
        <v>2029</v>
      </c>
    </row>
    <row r="7" spans="1:12" x14ac:dyDescent="0.25">
      <c r="A7" s="4" t="s">
        <v>263</v>
      </c>
      <c r="B7" s="4" t="s">
        <v>58</v>
      </c>
      <c r="C7" s="4">
        <v>28</v>
      </c>
      <c r="D7" s="4" t="s">
        <v>726</v>
      </c>
      <c r="E7" s="89">
        <v>1816662</v>
      </c>
      <c r="F7" s="90">
        <v>7.7000000000000002E-3</v>
      </c>
      <c r="G7" s="89">
        <v>1816662</v>
      </c>
      <c r="H7" s="89">
        <v>1816662</v>
      </c>
      <c r="I7" s="4"/>
    </row>
    <row r="8" spans="1:12" x14ac:dyDescent="0.25">
      <c r="A8" s="3" t="s">
        <v>752</v>
      </c>
      <c r="B8" s="3" t="s">
        <v>171</v>
      </c>
      <c r="C8" s="3">
        <v>27</v>
      </c>
      <c r="D8" s="3" t="s">
        <v>753</v>
      </c>
      <c r="E8" s="91">
        <v>1075000</v>
      </c>
      <c r="F8" s="92">
        <v>4.4999999999999997E-3</v>
      </c>
      <c r="G8" s="91">
        <v>1075000</v>
      </c>
      <c r="H8" s="91">
        <v>1075000</v>
      </c>
      <c r="I8" s="3"/>
    </row>
    <row r="9" spans="1:12" x14ac:dyDescent="0.25">
      <c r="A9" s="4" t="s">
        <v>754</v>
      </c>
      <c r="B9" s="4" t="s">
        <v>62</v>
      </c>
      <c r="C9" s="4">
        <v>26</v>
      </c>
      <c r="D9" s="4" t="s">
        <v>738</v>
      </c>
      <c r="E9" s="89">
        <v>776970</v>
      </c>
      <c r="F9" s="90">
        <v>3.3E-3</v>
      </c>
      <c r="G9" s="89">
        <v>776970</v>
      </c>
      <c r="H9" s="89">
        <v>776970</v>
      </c>
      <c r="I9" s="4"/>
    </row>
    <row r="10" spans="1:12" x14ac:dyDescent="0.25">
      <c r="A10" s="3" t="s">
        <v>755</v>
      </c>
      <c r="B10" s="3" t="s">
        <v>54</v>
      </c>
      <c r="C10" s="3">
        <v>26</v>
      </c>
      <c r="D10" s="3" t="s">
        <v>738</v>
      </c>
      <c r="E10" s="91">
        <v>757600</v>
      </c>
      <c r="F10" s="92">
        <v>3.2000000000000002E-3</v>
      </c>
      <c r="G10" s="91">
        <v>1313153</v>
      </c>
      <c r="H10" s="91">
        <v>757600</v>
      </c>
      <c r="I10" s="3"/>
    </row>
    <row r="11" spans="1:12" x14ac:dyDescent="0.25">
      <c r="A11" s="4" t="s">
        <v>756</v>
      </c>
      <c r="B11" s="4" t="s">
        <v>160</v>
      </c>
      <c r="C11" s="4">
        <v>32</v>
      </c>
      <c r="D11" s="4" t="s">
        <v>738</v>
      </c>
      <c r="E11" s="89">
        <v>750000</v>
      </c>
      <c r="F11" s="90">
        <v>3.2000000000000002E-3</v>
      </c>
      <c r="G11" s="89">
        <v>750000</v>
      </c>
      <c r="H11" s="89">
        <v>750000</v>
      </c>
      <c r="I11" s="4"/>
    </row>
    <row r="12" spans="1:12" x14ac:dyDescent="0.25">
      <c r="A12" s="3" t="s">
        <v>299</v>
      </c>
      <c r="B12" s="3" t="s">
        <v>160</v>
      </c>
      <c r="C12" s="3">
        <v>25</v>
      </c>
      <c r="D12" s="3" t="s">
        <v>738</v>
      </c>
      <c r="E12" s="91">
        <v>745700</v>
      </c>
      <c r="F12" s="92">
        <v>3.0999999999999999E-3</v>
      </c>
      <c r="G12" s="91">
        <v>1157584</v>
      </c>
      <c r="H12" s="91">
        <v>745700</v>
      </c>
      <c r="I12" s="3"/>
    </row>
    <row r="13" spans="1:12" x14ac:dyDescent="0.25">
      <c r="A13" s="4" t="s">
        <v>757</v>
      </c>
      <c r="B13" s="4" t="s">
        <v>35</v>
      </c>
      <c r="C13" s="4">
        <v>24</v>
      </c>
      <c r="D13" s="4" t="s">
        <v>738</v>
      </c>
      <c r="E13" s="89">
        <v>742100</v>
      </c>
      <c r="F13" s="90">
        <v>3.0999999999999999E-3</v>
      </c>
      <c r="G13" s="89">
        <v>742100</v>
      </c>
      <c r="H13" s="89">
        <v>742100</v>
      </c>
      <c r="I13" s="4"/>
    </row>
    <row r="14" spans="1:12" x14ac:dyDescent="0.25">
      <c r="A14" s="3" t="s">
        <v>307</v>
      </c>
      <c r="B14" s="3" t="s">
        <v>160</v>
      </c>
      <c r="C14" s="3">
        <v>24</v>
      </c>
      <c r="D14" s="3" t="s">
        <v>738</v>
      </c>
      <c r="E14" s="91">
        <v>742100</v>
      </c>
      <c r="F14" s="92">
        <v>3.0999999999999999E-3</v>
      </c>
      <c r="G14" s="91">
        <v>742100</v>
      </c>
      <c r="H14" s="91">
        <v>742100</v>
      </c>
      <c r="I14" s="3"/>
    </row>
    <row r="15" spans="1:12" x14ac:dyDescent="0.25">
      <c r="A15" s="4" t="s">
        <v>758</v>
      </c>
      <c r="B15" s="4" t="s">
        <v>35</v>
      </c>
      <c r="C15" s="4">
        <v>28</v>
      </c>
      <c r="D15" s="4" t="s">
        <v>738</v>
      </c>
      <c r="E15" s="89">
        <v>741000</v>
      </c>
      <c r="F15" s="90">
        <v>3.0999999999999999E-3</v>
      </c>
      <c r="G15" s="89">
        <v>981856</v>
      </c>
      <c r="H15" s="89">
        <v>741000</v>
      </c>
      <c r="I15" s="4"/>
    </row>
    <row r="16" spans="1:12" x14ac:dyDescent="0.25">
      <c r="A16" s="3" t="s">
        <v>759</v>
      </c>
      <c r="B16" s="3" t="s">
        <v>171</v>
      </c>
      <c r="C16" s="3">
        <v>27</v>
      </c>
      <c r="D16" s="3" t="s">
        <v>738</v>
      </c>
      <c r="E16" s="91">
        <v>740800</v>
      </c>
      <c r="F16" s="92">
        <v>3.0999999999999999E-3</v>
      </c>
      <c r="G16" s="91">
        <v>740800</v>
      </c>
      <c r="H16" s="91">
        <v>740800</v>
      </c>
      <c r="I16" s="3"/>
    </row>
    <row r="17" spans="1:9" x14ac:dyDescent="0.25">
      <c r="A17" s="4" t="s">
        <v>295</v>
      </c>
      <c r="B17" s="4" t="s">
        <v>171</v>
      </c>
      <c r="C17" s="4">
        <v>26</v>
      </c>
      <c r="D17" s="4" t="s">
        <v>738</v>
      </c>
      <c r="E17" s="89">
        <v>740700</v>
      </c>
      <c r="F17" s="90">
        <v>3.0999999999999999E-3</v>
      </c>
      <c r="G17" s="89">
        <v>1032035</v>
      </c>
      <c r="H17" s="89">
        <v>740700</v>
      </c>
      <c r="I17" s="4"/>
    </row>
    <row r="18" spans="1:9" x14ac:dyDescent="0.25">
      <c r="A18" s="3" t="s">
        <v>760</v>
      </c>
      <c r="B18" s="3" t="s">
        <v>47</v>
      </c>
      <c r="C18" s="3">
        <v>23</v>
      </c>
      <c r="D18" s="3" t="s">
        <v>738</v>
      </c>
      <c r="E18" s="91">
        <v>740200</v>
      </c>
      <c r="F18" s="92">
        <v>3.0999999999999999E-3</v>
      </c>
      <c r="G18" s="91">
        <v>740200</v>
      </c>
      <c r="H18" s="91">
        <v>740200</v>
      </c>
      <c r="I18" s="3"/>
    </row>
    <row r="19" spans="1:9" x14ac:dyDescent="0.25">
      <c r="A19" s="4" t="s">
        <v>761</v>
      </c>
      <c r="B19" s="4" t="s">
        <v>47</v>
      </c>
      <c r="C19" s="4">
        <v>27</v>
      </c>
      <c r="D19" s="4" t="s">
        <v>738</v>
      </c>
      <c r="E19" s="89">
        <v>740000</v>
      </c>
      <c r="F19" s="90">
        <v>3.0999999999999999E-3</v>
      </c>
      <c r="G19" s="89">
        <v>740000</v>
      </c>
      <c r="H19" s="89">
        <v>740000</v>
      </c>
      <c r="I19" s="4"/>
    </row>
    <row r="20" spans="1:9" x14ac:dyDescent="0.25">
      <c r="A20" s="3" t="s">
        <v>314</v>
      </c>
      <c r="B20" s="3" t="s">
        <v>171</v>
      </c>
      <c r="C20" s="3">
        <v>25</v>
      </c>
      <c r="D20" s="3" t="s">
        <v>738</v>
      </c>
      <c r="E20" s="91">
        <v>740000</v>
      </c>
      <c r="F20" s="92">
        <v>3.0999999999999999E-3</v>
      </c>
      <c r="G20" s="91">
        <v>1297688</v>
      </c>
      <c r="H20" s="91">
        <v>740000</v>
      </c>
      <c r="I20" s="3"/>
    </row>
    <row r="21" spans="1:9" x14ac:dyDescent="0.25">
      <c r="A21" s="4" t="s">
        <v>297</v>
      </c>
      <c r="B21" s="4" t="s">
        <v>171</v>
      </c>
      <c r="C21" s="4">
        <v>27</v>
      </c>
      <c r="D21" s="93" t="s">
        <v>738</v>
      </c>
      <c r="E21" s="89">
        <v>658296</v>
      </c>
      <c r="F21" s="90">
        <v>2.8E-3</v>
      </c>
      <c r="G21" s="89">
        <v>658296</v>
      </c>
      <c r="H21" s="89">
        <v>658296</v>
      </c>
      <c r="I21" s="4"/>
    </row>
    <row r="22" spans="1:9" x14ac:dyDescent="0.25">
      <c r="A22" s="3" t="s">
        <v>323</v>
      </c>
      <c r="B22" s="3" t="s">
        <v>171</v>
      </c>
      <c r="C22" s="3">
        <v>28</v>
      </c>
      <c r="D22" s="3" t="s">
        <v>738</v>
      </c>
      <c r="E22" s="91">
        <v>626045</v>
      </c>
      <c r="F22" s="92">
        <v>2.5999999999999999E-3</v>
      </c>
      <c r="G22" s="91">
        <v>626045</v>
      </c>
      <c r="H22" s="91">
        <v>626045</v>
      </c>
      <c r="I22" s="3"/>
    </row>
    <row r="23" spans="1:9" x14ac:dyDescent="0.25">
      <c r="A23" s="4" t="s">
        <v>762</v>
      </c>
      <c r="B23" s="4" t="s">
        <v>66</v>
      </c>
      <c r="C23" s="4">
        <v>22</v>
      </c>
      <c r="D23" s="4" t="s">
        <v>738</v>
      </c>
      <c r="E23" s="89">
        <v>381888</v>
      </c>
      <c r="F23" s="90">
        <v>1.6000000000000001E-3</v>
      </c>
      <c r="G23" s="89">
        <v>381888</v>
      </c>
      <c r="H23" s="89">
        <v>381888</v>
      </c>
      <c r="I23" s="4"/>
    </row>
    <row r="24" spans="1:9" x14ac:dyDescent="0.25">
      <c r="A24" s="3" t="s">
        <v>260</v>
      </c>
      <c r="B24" s="3" t="s">
        <v>62</v>
      </c>
      <c r="C24" s="3">
        <v>22</v>
      </c>
      <c r="D24" s="3" t="s">
        <v>738</v>
      </c>
      <c r="E24" s="91">
        <v>377910</v>
      </c>
      <c r="F24" s="92">
        <v>1.6000000000000001E-3</v>
      </c>
      <c r="G24" s="91">
        <v>377910</v>
      </c>
      <c r="H24" s="91">
        <v>377910</v>
      </c>
      <c r="I24" s="3"/>
    </row>
    <row r="25" spans="1:9" x14ac:dyDescent="0.25">
      <c r="A25" s="4" t="s">
        <v>763</v>
      </c>
      <c r="B25" s="4" t="s">
        <v>160</v>
      </c>
      <c r="C25" s="4">
        <v>33</v>
      </c>
      <c r="D25" s="4" t="s">
        <v>725</v>
      </c>
      <c r="E25" s="89">
        <v>373932</v>
      </c>
      <c r="F25" s="90">
        <v>1.6000000000000001E-3</v>
      </c>
      <c r="G25" s="89">
        <v>373932</v>
      </c>
      <c r="H25" s="89">
        <v>373932</v>
      </c>
      <c r="I25" s="4"/>
    </row>
    <row r="26" spans="1:9" x14ac:dyDescent="0.25">
      <c r="A26" s="3" t="s">
        <v>764</v>
      </c>
      <c r="B26" s="3" t="s">
        <v>66</v>
      </c>
      <c r="C26" s="3">
        <v>23</v>
      </c>
      <c r="D26" s="3" t="s">
        <v>738</v>
      </c>
      <c r="E26" s="91">
        <v>282438</v>
      </c>
      <c r="F26" s="92">
        <v>1.1999999999999999E-3</v>
      </c>
      <c r="G26" s="91">
        <v>282438</v>
      </c>
      <c r="H26" s="91">
        <v>282438</v>
      </c>
      <c r="I26" s="3"/>
    </row>
    <row r="27" spans="1:9" x14ac:dyDescent="0.25">
      <c r="A27" s="4" t="s">
        <v>765</v>
      </c>
      <c r="B27" s="4" t="s">
        <v>171</v>
      </c>
      <c r="C27" s="4">
        <v>26</v>
      </c>
      <c r="D27" s="4" t="s">
        <v>738</v>
      </c>
      <c r="E27" s="89">
        <v>127296</v>
      </c>
      <c r="F27" s="90">
        <v>5.0000000000000001E-4</v>
      </c>
      <c r="G27" s="89">
        <v>127296</v>
      </c>
      <c r="H27" s="89">
        <v>127296</v>
      </c>
      <c r="I27" s="4"/>
    </row>
    <row r="28" spans="1:9" x14ac:dyDescent="0.25">
      <c r="A28" s="3" t="s">
        <v>766</v>
      </c>
      <c r="B28" s="3" t="s">
        <v>160</v>
      </c>
      <c r="C28" s="3">
        <v>24</v>
      </c>
      <c r="D28" s="3" t="s">
        <v>738</v>
      </c>
      <c r="E28" s="91">
        <v>119340</v>
      </c>
      <c r="F28" s="92">
        <v>5.0000000000000001E-4</v>
      </c>
      <c r="G28" s="91">
        <v>119340</v>
      </c>
      <c r="H28" s="91">
        <v>119340</v>
      </c>
      <c r="I28" s="3"/>
    </row>
    <row r="29" spans="1:9" x14ac:dyDescent="0.25">
      <c r="A29" s="4" t="s">
        <v>343</v>
      </c>
      <c r="B29" s="4" t="s">
        <v>171</v>
      </c>
      <c r="C29" s="4">
        <v>23</v>
      </c>
      <c r="D29" s="4" t="s">
        <v>738</v>
      </c>
      <c r="E29" s="89">
        <v>67626</v>
      </c>
      <c r="F29" s="90">
        <v>2.9999999999999997E-4</v>
      </c>
      <c r="G29" s="89">
        <v>67626</v>
      </c>
      <c r="H29" s="89">
        <v>67626</v>
      </c>
      <c r="I29" s="4"/>
    </row>
    <row r="30" spans="1:9" x14ac:dyDescent="0.25">
      <c r="A30" s="94" t="s">
        <v>829</v>
      </c>
      <c r="B30" s="94" t="s">
        <v>11</v>
      </c>
      <c r="C30" s="94">
        <v>34</v>
      </c>
      <c r="D30" s="94"/>
      <c r="E30" s="95">
        <v>8500000</v>
      </c>
      <c r="F30" s="96">
        <v>3.5900000000000001E-2</v>
      </c>
      <c r="G30" s="95">
        <v>8500000</v>
      </c>
      <c r="H30" s="95">
        <v>8500000</v>
      </c>
      <c r="I30" s="94"/>
    </row>
    <row r="31" spans="1:9" x14ac:dyDescent="0.25">
      <c r="A31" s="94" t="s">
        <v>329</v>
      </c>
      <c r="B31" s="94" t="s">
        <v>171</v>
      </c>
      <c r="C31" s="94">
        <v>25</v>
      </c>
      <c r="D31" s="94"/>
      <c r="E31" s="95">
        <v>240893</v>
      </c>
      <c r="F31" s="96">
        <v>1E-3</v>
      </c>
      <c r="G31" s="95">
        <v>240893</v>
      </c>
      <c r="H31" s="95">
        <v>240893</v>
      </c>
      <c r="I31" s="94"/>
    </row>
    <row r="32" spans="1:9" x14ac:dyDescent="0.25">
      <c r="A32" s="94" t="s">
        <v>351</v>
      </c>
      <c r="B32" s="94" t="s">
        <v>171</v>
      </c>
      <c r="C32" s="94">
        <v>31</v>
      </c>
      <c r="D32" s="94"/>
      <c r="E32" s="95">
        <v>108060</v>
      </c>
      <c r="F32" s="96">
        <v>5.0000000000000001E-4</v>
      </c>
      <c r="G32" s="95">
        <v>108060</v>
      </c>
      <c r="H32" s="95">
        <v>108060</v>
      </c>
      <c r="I32" s="94"/>
    </row>
    <row r="33" spans="1:9" x14ac:dyDescent="0.25">
      <c r="A33" s="97" t="s">
        <v>832</v>
      </c>
      <c r="B33" s="97" t="s">
        <v>47</v>
      </c>
      <c r="C33" s="97">
        <v>23</v>
      </c>
      <c r="D33" s="97"/>
      <c r="E33" s="98">
        <v>103062</v>
      </c>
      <c r="F33" s="99">
        <v>4.0000000000000002E-4</v>
      </c>
      <c r="G33" s="98">
        <v>103062</v>
      </c>
      <c r="H33" s="98">
        <v>103062</v>
      </c>
      <c r="I33" s="97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5ABCE9-81A5-4C0E-BEA5-743FCA675805}">
  <sheetPr codeName="Sheet7"/>
  <dimension ref="A1:AK26"/>
  <sheetViews>
    <sheetView topLeftCell="AI5" zoomScale="98" workbookViewId="0">
      <selection activeCell="AH28" sqref="AH28"/>
    </sheetView>
  </sheetViews>
  <sheetFormatPr defaultRowHeight="15" x14ac:dyDescent="0.25"/>
  <cols>
    <col min="1" max="1" width="5.28515625" bestFit="1" customWidth="1"/>
    <col min="2" max="2" width="16.85546875" bestFit="1" customWidth="1"/>
    <col min="3" max="4" width="6.140625" bestFit="1" customWidth="1"/>
    <col min="5" max="5" width="7" bestFit="1" customWidth="1"/>
    <col min="6" max="6" width="4.42578125" bestFit="1" customWidth="1"/>
    <col min="7" max="8" width="5.28515625" bestFit="1" customWidth="1"/>
    <col min="9" max="9" width="4.28515625" bestFit="1" customWidth="1"/>
    <col min="10" max="10" width="4.42578125" bestFit="1" customWidth="1"/>
    <col min="11" max="12" width="5.140625" bestFit="1" customWidth="1"/>
    <col min="13" max="13" width="5.5703125" bestFit="1" customWidth="1"/>
    <col min="14" max="14" width="5.85546875" bestFit="1" customWidth="1"/>
    <col min="15" max="15" width="5.28515625" bestFit="1" customWidth="1"/>
    <col min="16" max="16" width="5.42578125" bestFit="1" customWidth="1"/>
    <col min="17" max="17" width="5.28515625" bestFit="1" customWidth="1"/>
    <col min="18" max="18" width="5.42578125" bestFit="1" customWidth="1"/>
    <col min="19" max="19" width="5.85546875" bestFit="1" customWidth="1"/>
    <col min="20" max="20" width="6.5703125" bestFit="1" customWidth="1"/>
    <col min="21" max="21" width="6.42578125" bestFit="1" customWidth="1"/>
    <col min="22" max="22" width="6.5703125" bestFit="1" customWidth="1"/>
    <col min="23" max="23" width="7.5703125" bestFit="1" customWidth="1"/>
    <col min="24" max="24" width="7.140625" bestFit="1" customWidth="1"/>
    <col min="25" max="25" width="8" bestFit="1" customWidth="1"/>
    <col min="26" max="26" width="5.140625" bestFit="1" customWidth="1"/>
    <col min="27" max="27" width="7.28515625" bestFit="1" customWidth="1"/>
    <col min="28" max="28" width="6.5703125" bestFit="1" customWidth="1"/>
    <col min="29" max="29" width="5.42578125" bestFit="1" customWidth="1"/>
    <col min="30" max="30" width="5.140625" bestFit="1" customWidth="1"/>
    <col min="31" max="31" width="5.85546875" bestFit="1" customWidth="1"/>
    <col min="32" max="32" width="10" bestFit="1" customWidth="1"/>
    <col min="33" max="33" width="9.140625" bestFit="1" customWidth="1"/>
    <col min="34" max="34" width="17.5703125" bestFit="1" customWidth="1"/>
    <col min="35" max="35" width="24" bestFit="1" customWidth="1"/>
    <col min="37" max="37" width="14" style="1" bestFit="1" customWidth="1"/>
  </cols>
  <sheetData>
    <row r="1" spans="1:37" x14ac:dyDescent="0.25">
      <c r="A1" s="79" t="s">
        <v>0</v>
      </c>
      <c r="B1" s="79" t="s">
        <v>1</v>
      </c>
      <c r="C1" s="79" t="s">
        <v>2</v>
      </c>
      <c r="D1" s="79" t="s">
        <v>3</v>
      </c>
      <c r="E1" s="79" t="s">
        <v>4</v>
      </c>
      <c r="F1" s="79" t="s">
        <v>5</v>
      </c>
      <c r="G1" s="79" t="s">
        <v>6</v>
      </c>
      <c r="H1" s="79" t="s">
        <v>7</v>
      </c>
      <c r="I1" s="79" t="s">
        <v>8</v>
      </c>
      <c r="J1" s="79" t="s">
        <v>9</v>
      </c>
      <c r="K1" s="79" t="s">
        <v>10</v>
      </c>
      <c r="L1" s="79" t="s">
        <v>11</v>
      </c>
      <c r="M1" s="79" t="s">
        <v>12</v>
      </c>
      <c r="N1" s="79" t="s">
        <v>13</v>
      </c>
      <c r="O1" s="79" t="s">
        <v>14</v>
      </c>
      <c r="P1" s="79" t="s">
        <v>15</v>
      </c>
      <c r="Q1" s="79" t="s">
        <v>16</v>
      </c>
      <c r="R1" s="79" t="s">
        <v>17</v>
      </c>
      <c r="S1" s="79" t="s">
        <v>18</v>
      </c>
      <c r="T1" s="79" t="s">
        <v>19</v>
      </c>
      <c r="U1" s="79" t="s">
        <v>20</v>
      </c>
      <c r="V1" s="79" t="s">
        <v>21</v>
      </c>
      <c r="W1" s="79" t="s">
        <v>22</v>
      </c>
      <c r="X1" s="79" t="s">
        <v>23</v>
      </c>
      <c r="Y1" s="79" t="s">
        <v>24</v>
      </c>
      <c r="Z1" s="79" t="s">
        <v>25</v>
      </c>
      <c r="AA1" s="79" t="s">
        <v>26</v>
      </c>
      <c r="AB1" s="79" t="s">
        <v>27</v>
      </c>
      <c r="AC1" s="79" t="s">
        <v>28</v>
      </c>
      <c r="AD1" s="79" t="s">
        <v>29</v>
      </c>
      <c r="AE1" s="79" t="s">
        <v>30</v>
      </c>
      <c r="AF1" s="79" t="s">
        <v>31</v>
      </c>
      <c r="AG1" s="79" t="s">
        <v>32</v>
      </c>
      <c r="AH1" s="79" t="s">
        <v>33</v>
      </c>
      <c r="AI1" s="79" t="s">
        <v>836</v>
      </c>
      <c r="AJ1" s="79" t="s">
        <v>817</v>
      </c>
      <c r="AK1" s="81" t="s">
        <v>840</v>
      </c>
    </row>
    <row r="2" spans="1:37" x14ac:dyDescent="0.25">
      <c r="A2" s="80">
        <v>1</v>
      </c>
      <c r="B2" s="80" t="s">
        <v>353</v>
      </c>
      <c r="C2" s="80">
        <v>29</v>
      </c>
      <c r="D2" s="80" t="s">
        <v>35</v>
      </c>
      <c r="E2" s="80">
        <v>1</v>
      </c>
      <c r="F2" s="80">
        <v>102</v>
      </c>
      <c r="G2" s="80">
        <v>337</v>
      </c>
      <c r="H2" s="80">
        <v>310</v>
      </c>
      <c r="I2" s="80">
        <v>43</v>
      </c>
      <c r="J2" s="80">
        <v>61</v>
      </c>
      <c r="K2" s="80">
        <v>16</v>
      </c>
      <c r="L2" s="80">
        <v>1</v>
      </c>
      <c r="M2" s="80">
        <v>10</v>
      </c>
      <c r="N2" s="80">
        <v>36</v>
      </c>
      <c r="O2" s="80">
        <v>1</v>
      </c>
      <c r="P2" s="80">
        <v>0</v>
      </c>
      <c r="Q2" s="80">
        <v>22</v>
      </c>
      <c r="R2" s="80">
        <v>99</v>
      </c>
      <c r="S2" s="80">
        <v>0.19700000000000001</v>
      </c>
      <c r="T2" s="80">
        <v>0.255</v>
      </c>
      <c r="U2" s="80">
        <v>0.35199999999999998</v>
      </c>
      <c r="V2" s="80">
        <v>0.60699999999999998</v>
      </c>
      <c r="W2" s="80">
        <v>71</v>
      </c>
      <c r="X2" s="80">
        <v>0.27</v>
      </c>
      <c r="Y2" s="80">
        <v>69</v>
      </c>
      <c r="Z2" s="80">
        <v>109</v>
      </c>
      <c r="AA2" s="80">
        <v>6</v>
      </c>
      <c r="AB2" s="80">
        <v>3</v>
      </c>
      <c r="AC2" s="80">
        <v>0</v>
      </c>
      <c r="AD2" s="80">
        <v>2</v>
      </c>
      <c r="AE2" s="80">
        <v>1</v>
      </c>
      <c r="AF2" s="80" t="s">
        <v>228</v>
      </c>
      <c r="AG2" s="80" t="s">
        <v>37</v>
      </c>
      <c r="AH2" s="80" t="s">
        <v>354</v>
      </c>
      <c r="AI2" s="80" t="s">
        <v>837</v>
      </c>
      <c r="AJ2" s="80" t="s">
        <v>822</v>
      </c>
      <c r="AK2" s="82">
        <f>IFERROR(VLOOKUP(B2,'DET Salary 2024'!A1:I35,7,FALSE), "No salary data")</f>
        <v>1700000</v>
      </c>
    </row>
    <row r="3" spans="1:37" x14ac:dyDescent="0.25">
      <c r="A3" s="7">
        <v>2</v>
      </c>
      <c r="B3" s="7" t="s">
        <v>355</v>
      </c>
      <c r="C3" s="7">
        <v>24</v>
      </c>
      <c r="D3" s="7" t="s">
        <v>40</v>
      </c>
      <c r="E3" s="7">
        <v>0.3</v>
      </c>
      <c r="F3" s="7">
        <v>92</v>
      </c>
      <c r="G3" s="7">
        <v>381</v>
      </c>
      <c r="H3" s="7">
        <v>342</v>
      </c>
      <c r="I3" s="7">
        <v>45</v>
      </c>
      <c r="J3" s="7">
        <v>75</v>
      </c>
      <c r="K3" s="7">
        <v>21</v>
      </c>
      <c r="L3" s="7">
        <v>1</v>
      </c>
      <c r="M3" s="7">
        <v>10</v>
      </c>
      <c r="N3" s="7">
        <v>37</v>
      </c>
      <c r="O3" s="7">
        <v>0</v>
      </c>
      <c r="P3" s="7">
        <v>0</v>
      </c>
      <c r="Q3" s="7">
        <v>33</v>
      </c>
      <c r="R3" s="7">
        <v>105</v>
      </c>
      <c r="S3" s="7">
        <v>0.219</v>
      </c>
      <c r="T3" s="7">
        <v>0.29499999999999998</v>
      </c>
      <c r="U3" s="7">
        <v>0.374</v>
      </c>
      <c r="V3" s="7">
        <v>0.66900000000000004</v>
      </c>
      <c r="W3" s="7">
        <v>89</v>
      </c>
      <c r="X3" s="7">
        <v>0.29299999999999998</v>
      </c>
      <c r="Y3" s="7">
        <v>86</v>
      </c>
      <c r="Z3" s="7">
        <v>128</v>
      </c>
      <c r="AA3" s="7">
        <v>6</v>
      </c>
      <c r="AB3" s="7">
        <v>4</v>
      </c>
      <c r="AC3" s="7">
        <v>0</v>
      </c>
      <c r="AD3" s="7">
        <v>1</v>
      </c>
      <c r="AE3" s="7">
        <v>0</v>
      </c>
      <c r="AF3" s="7" t="s">
        <v>356</v>
      </c>
      <c r="AG3" s="7" t="s">
        <v>37</v>
      </c>
      <c r="AH3" s="7" t="s">
        <v>357</v>
      </c>
      <c r="AI3" s="7" t="s">
        <v>837</v>
      </c>
      <c r="AJ3" s="7" t="s">
        <v>822</v>
      </c>
      <c r="AK3" s="71">
        <f>IFERROR(VLOOKUP(B3,'DET Salary 2024'!A2:I36,7,FALSE), "No salary data")</f>
        <v>456987</v>
      </c>
    </row>
    <row r="4" spans="1:37" x14ac:dyDescent="0.25">
      <c r="A4" s="6">
        <v>3</v>
      </c>
      <c r="B4" s="6" t="s">
        <v>358</v>
      </c>
      <c r="C4" s="6">
        <v>22</v>
      </c>
      <c r="D4" s="6" t="s">
        <v>10</v>
      </c>
      <c r="E4" s="6">
        <v>1.1000000000000001</v>
      </c>
      <c r="F4" s="6">
        <v>148</v>
      </c>
      <c r="G4" s="6">
        <v>556</v>
      </c>
      <c r="H4" s="6">
        <v>516</v>
      </c>
      <c r="I4" s="6">
        <v>54</v>
      </c>
      <c r="J4" s="6">
        <v>134</v>
      </c>
      <c r="K4" s="6">
        <v>15</v>
      </c>
      <c r="L4" s="6">
        <v>4</v>
      </c>
      <c r="M4" s="6">
        <v>13</v>
      </c>
      <c r="N4" s="6">
        <v>61</v>
      </c>
      <c r="O4" s="6">
        <v>7</v>
      </c>
      <c r="P4" s="6">
        <v>1</v>
      </c>
      <c r="Q4" s="6">
        <v>36</v>
      </c>
      <c r="R4" s="6">
        <v>110</v>
      </c>
      <c r="S4" s="6">
        <v>0.26</v>
      </c>
      <c r="T4" s="6">
        <v>0.309</v>
      </c>
      <c r="U4" s="6">
        <v>0.38</v>
      </c>
      <c r="V4" s="6">
        <v>0.68899999999999995</v>
      </c>
      <c r="W4" s="6">
        <v>96</v>
      </c>
      <c r="X4" s="6">
        <v>0.308</v>
      </c>
      <c r="Y4" s="6">
        <v>95</v>
      </c>
      <c r="Z4" s="6">
        <v>196</v>
      </c>
      <c r="AA4" s="6">
        <v>4</v>
      </c>
      <c r="AB4" s="6">
        <v>2</v>
      </c>
      <c r="AC4" s="6">
        <v>0</v>
      </c>
      <c r="AD4" s="6">
        <v>2</v>
      </c>
      <c r="AE4" s="6">
        <v>2</v>
      </c>
      <c r="AF4" s="6" t="s">
        <v>359</v>
      </c>
      <c r="AG4" s="6" t="s">
        <v>37</v>
      </c>
      <c r="AH4" s="6" t="s">
        <v>360</v>
      </c>
      <c r="AI4" s="6" t="s">
        <v>837</v>
      </c>
      <c r="AJ4" s="6" t="s">
        <v>822</v>
      </c>
      <c r="AK4" s="73">
        <f>IFERROR(VLOOKUP(B4,'DET Salary 2024'!A3:I37,7,FALSE), "No salary data")</f>
        <v>4742569</v>
      </c>
    </row>
    <row r="5" spans="1:37" x14ac:dyDescent="0.25">
      <c r="A5" s="7">
        <v>4</v>
      </c>
      <c r="B5" s="7" t="s">
        <v>361</v>
      </c>
      <c r="C5" s="7">
        <v>31</v>
      </c>
      <c r="D5" s="7" t="s">
        <v>47</v>
      </c>
      <c r="E5" s="7">
        <v>-1.1000000000000001</v>
      </c>
      <c r="F5" s="7">
        <v>80</v>
      </c>
      <c r="G5" s="7">
        <v>289</v>
      </c>
      <c r="H5" s="7">
        <v>272</v>
      </c>
      <c r="I5" s="7">
        <v>25</v>
      </c>
      <c r="J5" s="7">
        <v>50</v>
      </c>
      <c r="K5" s="7">
        <v>12</v>
      </c>
      <c r="L5" s="7">
        <v>0</v>
      </c>
      <c r="M5" s="7">
        <v>6</v>
      </c>
      <c r="N5" s="7">
        <v>37</v>
      </c>
      <c r="O5" s="7">
        <v>8</v>
      </c>
      <c r="P5" s="7">
        <v>1</v>
      </c>
      <c r="Q5" s="7">
        <v>12</v>
      </c>
      <c r="R5" s="7">
        <v>69</v>
      </c>
      <c r="S5" s="7">
        <v>0.184</v>
      </c>
      <c r="T5" s="7">
        <v>0.221</v>
      </c>
      <c r="U5" s="7">
        <v>0.29399999999999998</v>
      </c>
      <c r="V5" s="7">
        <v>0.51600000000000001</v>
      </c>
      <c r="W5" s="7">
        <v>46</v>
      </c>
      <c r="X5" s="7">
        <v>0.23599999999999999</v>
      </c>
      <c r="Y5" s="7">
        <v>41</v>
      </c>
      <c r="Z5" s="7">
        <v>80</v>
      </c>
      <c r="AA5" s="7">
        <v>10</v>
      </c>
      <c r="AB5" s="7">
        <v>2</v>
      </c>
      <c r="AC5" s="7">
        <v>0</v>
      </c>
      <c r="AD5" s="7">
        <v>3</v>
      </c>
      <c r="AE5" s="7">
        <v>1</v>
      </c>
      <c r="AF5" s="7" t="s">
        <v>362</v>
      </c>
      <c r="AG5" s="7" t="s">
        <v>37</v>
      </c>
      <c r="AH5" s="7" t="s">
        <v>363</v>
      </c>
      <c r="AI5" s="7" t="s">
        <v>837</v>
      </c>
      <c r="AJ5" s="7" t="s">
        <v>822</v>
      </c>
      <c r="AK5" s="71">
        <f>IFERROR(VLOOKUP(B5,'DET Salary 2024'!A4:I38,7,FALSE), "No salary data")</f>
        <v>25000000</v>
      </c>
    </row>
    <row r="6" spans="1:37" x14ac:dyDescent="0.25">
      <c r="A6" s="6">
        <v>5</v>
      </c>
      <c r="B6" s="6" t="s">
        <v>364</v>
      </c>
      <c r="C6" s="6">
        <v>32</v>
      </c>
      <c r="D6" s="6" t="s">
        <v>11</v>
      </c>
      <c r="E6" s="6">
        <v>-0.3</v>
      </c>
      <c r="F6" s="6">
        <v>92</v>
      </c>
      <c r="G6" s="6">
        <v>325</v>
      </c>
      <c r="H6" s="6">
        <v>300</v>
      </c>
      <c r="I6" s="6">
        <v>25</v>
      </c>
      <c r="J6" s="6">
        <v>73</v>
      </c>
      <c r="K6" s="6">
        <v>10</v>
      </c>
      <c r="L6" s="6">
        <v>1</v>
      </c>
      <c r="M6" s="6">
        <v>5</v>
      </c>
      <c r="N6" s="6">
        <v>37</v>
      </c>
      <c r="O6" s="6">
        <v>0</v>
      </c>
      <c r="P6" s="6">
        <v>0</v>
      </c>
      <c r="Q6" s="6">
        <v>19</v>
      </c>
      <c r="R6" s="6">
        <v>49</v>
      </c>
      <c r="S6" s="6">
        <v>0.24299999999999999</v>
      </c>
      <c r="T6" s="6">
        <v>0.28599999999999998</v>
      </c>
      <c r="U6" s="6">
        <v>0.33300000000000002</v>
      </c>
      <c r="V6" s="6">
        <v>0.61899999999999999</v>
      </c>
      <c r="W6" s="6">
        <v>76</v>
      </c>
      <c r="X6" s="6">
        <v>0.28399999999999997</v>
      </c>
      <c r="Y6" s="6">
        <v>79</v>
      </c>
      <c r="Z6" s="6">
        <v>100</v>
      </c>
      <c r="AA6" s="6">
        <v>12</v>
      </c>
      <c r="AB6" s="6">
        <v>1</v>
      </c>
      <c r="AC6" s="6">
        <v>0</v>
      </c>
      <c r="AD6" s="6">
        <v>5</v>
      </c>
      <c r="AE6" s="6">
        <v>1</v>
      </c>
      <c r="AF6" s="6" t="s">
        <v>365</v>
      </c>
      <c r="AG6" s="6" t="s">
        <v>37</v>
      </c>
      <c r="AH6" s="6" t="s">
        <v>366</v>
      </c>
      <c r="AI6" s="6" t="s">
        <v>837</v>
      </c>
      <c r="AJ6" s="6" t="s">
        <v>822</v>
      </c>
      <c r="AK6" s="73" t="str">
        <f>IFERROR(VLOOKUP(B6,'DET Salary 2024'!A5:I39,7,FALSE), "No salary data")</f>
        <v>No salary data</v>
      </c>
    </row>
    <row r="7" spans="1:37" x14ac:dyDescent="0.25">
      <c r="A7" s="7">
        <v>6</v>
      </c>
      <c r="B7" s="7" t="s">
        <v>367</v>
      </c>
      <c r="C7" s="7">
        <v>23</v>
      </c>
      <c r="D7" s="7" t="s">
        <v>54</v>
      </c>
      <c r="E7" s="7">
        <v>5.4</v>
      </c>
      <c r="F7" s="7">
        <v>137</v>
      </c>
      <c r="G7" s="7">
        <v>584</v>
      </c>
      <c r="H7" s="7">
        <v>512</v>
      </c>
      <c r="I7" s="7">
        <v>82</v>
      </c>
      <c r="J7" s="7">
        <v>134</v>
      </c>
      <c r="K7" s="7">
        <v>27</v>
      </c>
      <c r="L7" s="7">
        <v>6</v>
      </c>
      <c r="M7" s="7">
        <v>24</v>
      </c>
      <c r="N7" s="7">
        <v>74</v>
      </c>
      <c r="O7" s="7">
        <v>4</v>
      </c>
      <c r="P7" s="7">
        <v>2</v>
      </c>
      <c r="Q7" s="7">
        <v>64</v>
      </c>
      <c r="R7" s="7">
        <v>156</v>
      </c>
      <c r="S7" s="7">
        <v>0.26200000000000001</v>
      </c>
      <c r="T7" s="7">
        <v>0.34799999999999998</v>
      </c>
      <c r="U7" s="7">
        <v>0.47899999999999998</v>
      </c>
      <c r="V7" s="7">
        <v>0.82699999999999996</v>
      </c>
      <c r="W7" s="7">
        <v>133</v>
      </c>
      <c r="X7" s="7">
        <v>0.35799999999999998</v>
      </c>
      <c r="Y7" s="7">
        <v>133</v>
      </c>
      <c r="Z7" s="7">
        <v>245</v>
      </c>
      <c r="AA7" s="7">
        <v>2</v>
      </c>
      <c r="AB7" s="7">
        <v>5</v>
      </c>
      <c r="AC7" s="7">
        <v>0</v>
      </c>
      <c r="AD7" s="7">
        <v>2</v>
      </c>
      <c r="AE7" s="7">
        <v>3</v>
      </c>
      <c r="AF7" s="7" t="s">
        <v>368</v>
      </c>
      <c r="AG7" s="7" t="s">
        <v>163</v>
      </c>
      <c r="AH7" s="7" t="s">
        <v>369</v>
      </c>
      <c r="AI7" s="7" t="s">
        <v>837</v>
      </c>
      <c r="AJ7" s="7" t="s">
        <v>822</v>
      </c>
      <c r="AK7" s="71">
        <f>IFERROR(VLOOKUP(B7,'DET Salary 2024'!A6:I40,7,FALSE), "No salary data")</f>
        <v>1284146</v>
      </c>
    </row>
    <row r="8" spans="1:37" x14ac:dyDescent="0.25">
      <c r="A8" s="6">
        <v>7</v>
      </c>
      <c r="B8" s="6" t="s">
        <v>370</v>
      </c>
      <c r="C8" s="6">
        <v>24</v>
      </c>
      <c r="D8" s="6" t="s">
        <v>58</v>
      </c>
      <c r="E8" s="6">
        <v>2.2000000000000002</v>
      </c>
      <c r="F8" s="6">
        <v>82</v>
      </c>
      <c r="G8" s="6">
        <v>298</v>
      </c>
      <c r="H8" s="6">
        <v>270</v>
      </c>
      <c r="I8" s="6">
        <v>39</v>
      </c>
      <c r="J8" s="6">
        <v>66</v>
      </c>
      <c r="K8" s="6">
        <v>12</v>
      </c>
      <c r="L8" s="6">
        <v>6</v>
      </c>
      <c r="M8" s="6">
        <v>9</v>
      </c>
      <c r="N8" s="6">
        <v>28</v>
      </c>
      <c r="O8" s="6">
        <v>9</v>
      </c>
      <c r="P8" s="6">
        <v>4</v>
      </c>
      <c r="Q8" s="6">
        <v>25</v>
      </c>
      <c r="R8" s="6">
        <v>76</v>
      </c>
      <c r="S8" s="6">
        <v>0.24399999999999999</v>
      </c>
      <c r="T8" s="6">
        <v>0.31</v>
      </c>
      <c r="U8" s="6">
        <v>0.433</v>
      </c>
      <c r="V8" s="6">
        <v>0.74299999999999999</v>
      </c>
      <c r="W8" s="6">
        <v>109</v>
      </c>
      <c r="X8" s="6">
        <v>0.32400000000000001</v>
      </c>
      <c r="Y8" s="6">
        <v>108</v>
      </c>
      <c r="Z8" s="6">
        <v>117</v>
      </c>
      <c r="AA8" s="6">
        <v>0</v>
      </c>
      <c r="AB8" s="6">
        <v>1</v>
      </c>
      <c r="AC8" s="6">
        <v>1</v>
      </c>
      <c r="AD8" s="6">
        <v>1</v>
      </c>
      <c r="AE8" s="6">
        <v>0</v>
      </c>
      <c r="AF8" s="6" t="s">
        <v>371</v>
      </c>
      <c r="AG8" s="6" t="s">
        <v>37</v>
      </c>
      <c r="AH8" s="6" t="s">
        <v>372</v>
      </c>
      <c r="AI8" s="6" t="s">
        <v>837</v>
      </c>
      <c r="AJ8" s="6" t="s">
        <v>822</v>
      </c>
      <c r="AK8" s="73">
        <f>IFERROR(VLOOKUP(B8,'DET Salary 2024'!A7:I41,7,FALSE), "No salary data")</f>
        <v>506016</v>
      </c>
    </row>
    <row r="9" spans="1:37" x14ac:dyDescent="0.25">
      <c r="A9" s="7">
        <v>8</v>
      </c>
      <c r="B9" s="7" t="s">
        <v>373</v>
      </c>
      <c r="C9" s="7">
        <v>24</v>
      </c>
      <c r="D9" s="7" t="s">
        <v>62</v>
      </c>
      <c r="E9" s="7">
        <v>0.7</v>
      </c>
      <c r="F9" s="7">
        <v>112</v>
      </c>
      <c r="G9" s="7">
        <v>425</v>
      </c>
      <c r="H9" s="7">
        <v>389</v>
      </c>
      <c r="I9" s="7">
        <v>51</v>
      </c>
      <c r="J9" s="7">
        <v>94</v>
      </c>
      <c r="K9" s="7">
        <v>16</v>
      </c>
      <c r="L9" s="7">
        <v>6</v>
      </c>
      <c r="M9" s="7">
        <v>9</v>
      </c>
      <c r="N9" s="7">
        <v>37</v>
      </c>
      <c r="O9" s="7">
        <v>9</v>
      </c>
      <c r="P9" s="7">
        <v>5</v>
      </c>
      <c r="Q9" s="7">
        <v>32</v>
      </c>
      <c r="R9" s="7">
        <v>92</v>
      </c>
      <c r="S9" s="7">
        <v>0.24199999999999999</v>
      </c>
      <c r="T9" s="7">
        <v>0.3</v>
      </c>
      <c r="U9" s="7">
        <v>0.38300000000000001</v>
      </c>
      <c r="V9" s="7">
        <v>0.68300000000000005</v>
      </c>
      <c r="W9" s="7">
        <v>93</v>
      </c>
      <c r="X9" s="7">
        <v>0.30199999999999999</v>
      </c>
      <c r="Y9" s="7">
        <v>93</v>
      </c>
      <c r="Z9" s="7">
        <v>149</v>
      </c>
      <c r="AA9" s="7">
        <v>5</v>
      </c>
      <c r="AB9" s="7">
        <v>1</v>
      </c>
      <c r="AC9" s="7">
        <v>2</v>
      </c>
      <c r="AD9" s="7">
        <v>1</v>
      </c>
      <c r="AE9" s="7">
        <v>0</v>
      </c>
      <c r="AF9" s="7" t="s">
        <v>374</v>
      </c>
      <c r="AG9" s="7" t="s">
        <v>37</v>
      </c>
      <c r="AH9" s="7" t="s">
        <v>375</v>
      </c>
      <c r="AI9" s="7" t="s">
        <v>837</v>
      </c>
      <c r="AJ9" s="7" t="s">
        <v>822</v>
      </c>
      <c r="AK9" s="71" t="str">
        <f>IFERROR(VLOOKUP(B9,'DET Salary 2024'!A8:I42,7,FALSE), "No salary data")</f>
        <v>No salary data</v>
      </c>
    </row>
    <row r="10" spans="1:37" x14ac:dyDescent="0.25">
      <c r="A10" s="6">
        <v>9</v>
      </c>
      <c r="B10" s="6" t="s">
        <v>376</v>
      </c>
      <c r="C10" s="6">
        <v>24</v>
      </c>
      <c r="D10" s="6" t="s">
        <v>66</v>
      </c>
      <c r="E10" s="6">
        <v>-0.4</v>
      </c>
      <c r="F10" s="6">
        <v>71</v>
      </c>
      <c r="G10" s="6">
        <v>230</v>
      </c>
      <c r="H10" s="6">
        <v>202</v>
      </c>
      <c r="I10" s="6">
        <v>18</v>
      </c>
      <c r="J10" s="6">
        <v>41</v>
      </c>
      <c r="K10" s="6">
        <v>7</v>
      </c>
      <c r="L10" s="6">
        <v>1</v>
      </c>
      <c r="M10" s="6">
        <v>8</v>
      </c>
      <c r="N10" s="6">
        <v>21</v>
      </c>
      <c r="O10" s="6">
        <v>1</v>
      </c>
      <c r="P10" s="6">
        <v>1</v>
      </c>
      <c r="Q10" s="6">
        <v>23</v>
      </c>
      <c r="R10" s="6">
        <v>85</v>
      </c>
      <c r="S10" s="6">
        <v>0.20300000000000001</v>
      </c>
      <c r="T10" s="6">
        <v>0.29099999999999998</v>
      </c>
      <c r="U10" s="6">
        <v>0.36599999999999999</v>
      </c>
      <c r="V10" s="6">
        <v>0.65800000000000003</v>
      </c>
      <c r="W10" s="6">
        <v>86</v>
      </c>
      <c r="X10" s="6">
        <v>0.28899999999999998</v>
      </c>
      <c r="Y10" s="6">
        <v>84</v>
      </c>
      <c r="Z10" s="6">
        <v>74</v>
      </c>
      <c r="AA10" s="6">
        <v>2</v>
      </c>
      <c r="AB10" s="6">
        <v>3</v>
      </c>
      <c r="AC10" s="6">
        <v>0</v>
      </c>
      <c r="AD10" s="6">
        <v>2</v>
      </c>
      <c r="AE10" s="6">
        <v>0</v>
      </c>
      <c r="AF10" s="6" t="s">
        <v>377</v>
      </c>
      <c r="AG10" s="6" t="s">
        <v>37</v>
      </c>
      <c r="AH10" s="6" t="s">
        <v>378</v>
      </c>
      <c r="AI10" s="6" t="s">
        <v>837</v>
      </c>
      <c r="AJ10" s="6" t="s">
        <v>822</v>
      </c>
      <c r="AK10" s="73">
        <f>IFERROR(VLOOKUP(B10,'DET Salary 2024'!A9:I43,7,FALSE), "No salary data")</f>
        <v>306306</v>
      </c>
    </row>
    <row r="11" spans="1:37" x14ac:dyDescent="0.25">
      <c r="A11" s="7">
        <v>10</v>
      </c>
      <c r="B11" s="7" t="s">
        <v>379</v>
      </c>
      <c r="C11" s="7">
        <v>27</v>
      </c>
      <c r="D11" s="7" t="s">
        <v>70</v>
      </c>
      <c r="E11" s="7">
        <v>3</v>
      </c>
      <c r="F11" s="7">
        <v>144</v>
      </c>
      <c r="G11" s="7">
        <v>567</v>
      </c>
      <c r="H11" s="7">
        <v>518</v>
      </c>
      <c r="I11" s="7">
        <v>80</v>
      </c>
      <c r="J11" s="7">
        <v>133</v>
      </c>
      <c r="K11" s="7">
        <v>28</v>
      </c>
      <c r="L11" s="7">
        <v>5</v>
      </c>
      <c r="M11" s="7">
        <v>16</v>
      </c>
      <c r="N11" s="7">
        <v>57</v>
      </c>
      <c r="O11" s="7">
        <v>6</v>
      </c>
      <c r="P11" s="7">
        <v>1</v>
      </c>
      <c r="Q11" s="7">
        <v>41</v>
      </c>
      <c r="R11" s="7">
        <v>121</v>
      </c>
      <c r="S11" s="7">
        <v>0.25700000000000001</v>
      </c>
      <c r="T11" s="7">
        <v>0.312</v>
      </c>
      <c r="U11" s="7">
        <v>0.42299999999999999</v>
      </c>
      <c r="V11" s="7">
        <v>0.73499999999999999</v>
      </c>
      <c r="W11" s="7">
        <v>107</v>
      </c>
      <c r="X11" s="7">
        <v>0.32300000000000001</v>
      </c>
      <c r="Y11" s="7">
        <v>106</v>
      </c>
      <c r="Z11" s="7">
        <v>219</v>
      </c>
      <c r="AA11" s="7">
        <v>9</v>
      </c>
      <c r="AB11" s="7">
        <v>3</v>
      </c>
      <c r="AC11" s="7">
        <v>0</v>
      </c>
      <c r="AD11" s="7">
        <v>5</v>
      </c>
      <c r="AE11" s="7">
        <v>1</v>
      </c>
      <c r="AF11" s="7" t="s">
        <v>380</v>
      </c>
      <c r="AG11" s="7" t="s">
        <v>37</v>
      </c>
      <c r="AH11" s="7" t="s">
        <v>381</v>
      </c>
      <c r="AI11" s="7" t="s">
        <v>837</v>
      </c>
      <c r="AJ11" s="7" t="s">
        <v>822</v>
      </c>
      <c r="AK11" s="71">
        <f>IFERROR(VLOOKUP(B11,'DET Salary 2024'!A10:I44,7,FALSE), "No salary data")</f>
        <v>1093719</v>
      </c>
    </row>
    <row r="12" spans="1:37" x14ac:dyDescent="0.25">
      <c r="A12" s="6">
        <v>11</v>
      </c>
      <c r="B12" s="6" t="s">
        <v>382</v>
      </c>
      <c r="C12" s="6">
        <v>35</v>
      </c>
      <c r="D12" s="6" t="s">
        <v>70</v>
      </c>
      <c r="E12" s="6">
        <v>0.6</v>
      </c>
      <c r="F12" s="6">
        <v>93</v>
      </c>
      <c r="G12" s="6">
        <v>377</v>
      </c>
      <c r="H12" s="6">
        <v>320</v>
      </c>
      <c r="I12" s="6">
        <v>42</v>
      </c>
      <c r="J12" s="6">
        <v>74</v>
      </c>
      <c r="K12" s="6">
        <v>17</v>
      </c>
      <c r="L12" s="6">
        <v>0</v>
      </c>
      <c r="M12" s="6">
        <v>7</v>
      </c>
      <c r="N12" s="6">
        <v>38</v>
      </c>
      <c r="O12" s="6">
        <v>4</v>
      </c>
      <c r="P12" s="6">
        <v>0</v>
      </c>
      <c r="Q12" s="6">
        <v>42</v>
      </c>
      <c r="R12" s="6">
        <v>79</v>
      </c>
      <c r="S12" s="6">
        <v>0.23100000000000001</v>
      </c>
      <c r="T12" s="6">
        <v>0.33700000000000002</v>
      </c>
      <c r="U12" s="6">
        <v>0.35</v>
      </c>
      <c r="V12" s="6">
        <v>0.68700000000000006</v>
      </c>
      <c r="W12" s="6">
        <v>97</v>
      </c>
      <c r="X12" s="6">
        <v>0.32</v>
      </c>
      <c r="Y12" s="6">
        <v>103</v>
      </c>
      <c r="Z12" s="6">
        <v>112</v>
      </c>
      <c r="AA12" s="6">
        <v>9</v>
      </c>
      <c r="AB12" s="6">
        <v>11</v>
      </c>
      <c r="AC12" s="6">
        <v>0</v>
      </c>
      <c r="AD12" s="6">
        <v>4</v>
      </c>
      <c r="AE12" s="6">
        <v>2</v>
      </c>
      <c r="AF12" s="6" t="s">
        <v>383</v>
      </c>
      <c r="AG12" s="6" t="s">
        <v>37</v>
      </c>
      <c r="AH12" s="6" t="s">
        <v>384</v>
      </c>
      <c r="AI12" s="6" t="s">
        <v>837</v>
      </c>
      <c r="AJ12" s="6" t="s">
        <v>822</v>
      </c>
      <c r="AK12" s="73" t="str">
        <f>IFERROR(VLOOKUP(B12,'DET Salary 2024'!A11:I45,7,FALSE), "No salary data")</f>
        <v>No salary data</v>
      </c>
    </row>
    <row r="13" spans="1:37" x14ac:dyDescent="0.25">
      <c r="A13" s="7">
        <v>12</v>
      </c>
      <c r="B13" s="7" t="s">
        <v>385</v>
      </c>
      <c r="C13" s="7">
        <v>29</v>
      </c>
      <c r="D13" s="7" t="s">
        <v>108</v>
      </c>
      <c r="E13" s="7">
        <v>0.8</v>
      </c>
      <c r="F13" s="7">
        <v>118</v>
      </c>
      <c r="G13" s="7">
        <v>325</v>
      </c>
      <c r="H13" s="7">
        <v>297</v>
      </c>
      <c r="I13" s="7">
        <v>32</v>
      </c>
      <c r="J13" s="7">
        <v>64</v>
      </c>
      <c r="K13" s="7">
        <v>14</v>
      </c>
      <c r="L13" s="7">
        <v>5</v>
      </c>
      <c r="M13" s="7">
        <v>4</v>
      </c>
      <c r="N13" s="7">
        <v>23</v>
      </c>
      <c r="O13" s="7">
        <v>16</v>
      </c>
      <c r="P13" s="7">
        <v>0</v>
      </c>
      <c r="Q13" s="7">
        <v>24</v>
      </c>
      <c r="R13" s="7">
        <v>69</v>
      </c>
      <c r="S13" s="7">
        <v>0.215</v>
      </c>
      <c r="T13" s="7">
        <v>0.27700000000000002</v>
      </c>
      <c r="U13" s="7">
        <v>0.33700000000000002</v>
      </c>
      <c r="V13" s="7">
        <v>0.61399999999999999</v>
      </c>
      <c r="W13" s="7">
        <v>74</v>
      </c>
      <c r="X13" s="7">
        <v>0.28799999999999998</v>
      </c>
      <c r="Y13" s="7">
        <v>74</v>
      </c>
      <c r="Z13" s="7">
        <v>100</v>
      </c>
      <c r="AA13" s="7">
        <v>3</v>
      </c>
      <c r="AB13" s="7">
        <v>2</v>
      </c>
      <c r="AC13" s="7">
        <v>0</v>
      </c>
      <c r="AD13" s="7">
        <v>2</v>
      </c>
      <c r="AE13" s="7">
        <v>0</v>
      </c>
      <c r="AF13" s="7" t="s">
        <v>386</v>
      </c>
      <c r="AG13" s="7" t="s">
        <v>37</v>
      </c>
      <c r="AH13" s="7" t="s">
        <v>387</v>
      </c>
      <c r="AI13" s="7" t="s">
        <v>837</v>
      </c>
      <c r="AJ13" s="7" t="s">
        <v>822</v>
      </c>
      <c r="AK13" s="71" t="str">
        <f>IFERROR(VLOOKUP(B13,'DET Salary 2024'!A12:I46,7,FALSE), "No salary data")</f>
        <v>No salary data</v>
      </c>
    </row>
    <row r="14" spans="1:37" x14ac:dyDescent="0.25">
      <c r="A14" s="6">
        <v>13</v>
      </c>
      <c r="B14" s="6" t="s">
        <v>388</v>
      </c>
      <c r="C14" s="6">
        <v>26</v>
      </c>
      <c r="D14" s="6" t="s">
        <v>66</v>
      </c>
      <c r="E14" s="6">
        <v>2.2000000000000002</v>
      </c>
      <c r="F14" s="6">
        <v>87</v>
      </c>
      <c r="G14" s="6">
        <v>296</v>
      </c>
      <c r="H14" s="6">
        <v>264</v>
      </c>
      <c r="I14" s="6">
        <v>37</v>
      </c>
      <c r="J14" s="6">
        <v>75</v>
      </c>
      <c r="K14" s="6">
        <v>16</v>
      </c>
      <c r="L14" s="6">
        <v>5</v>
      </c>
      <c r="M14" s="6">
        <v>18</v>
      </c>
      <c r="N14" s="6">
        <v>57</v>
      </c>
      <c r="O14" s="6">
        <v>0</v>
      </c>
      <c r="P14" s="6">
        <v>2</v>
      </c>
      <c r="Q14" s="6">
        <v>22</v>
      </c>
      <c r="R14" s="6">
        <v>75</v>
      </c>
      <c r="S14" s="6">
        <v>0.28399999999999997</v>
      </c>
      <c r="T14" s="6">
        <v>0.34499999999999997</v>
      </c>
      <c r="U14" s="6">
        <v>0.58699999999999997</v>
      </c>
      <c r="V14" s="6">
        <v>0.93200000000000005</v>
      </c>
      <c r="W14" s="6">
        <v>159</v>
      </c>
      <c r="X14" s="6">
        <v>0.38600000000000001</v>
      </c>
      <c r="Y14" s="6">
        <v>156</v>
      </c>
      <c r="Z14" s="6">
        <v>155</v>
      </c>
      <c r="AA14" s="6">
        <v>5</v>
      </c>
      <c r="AB14" s="6">
        <v>4</v>
      </c>
      <c r="AC14" s="6">
        <v>0</v>
      </c>
      <c r="AD14" s="6">
        <v>3</v>
      </c>
      <c r="AE14" s="6">
        <v>1</v>
      </c>
      <c r="AF14" s="6" t="s">
        <v>389</v>
      </c>
      <c r="AG14" s="6" t="s">
        <v>37</v>
      </c>
      <c r="AH14" s="6" t="s">
        <v>390</v>
      </c>
      <c r="AI14" s="6" t="s">
        <v>837</v>
      </c>
      <c r="AJ14" s="6" t="s">
        <v>822</v>
      </c>
      <c r="AK14" s="73" t="str">
        <f>IFERROR(VLOOKUP(B14,'DET Salary 2024'!A13:I47,7,FALSE), "No salary data")</f>
        <v>No salary data</v>
      </c>
    </row>
    <row r="15" spans="1:37" x14ac:dyDescent="0.25">
      <c r="A15" s="7">
        <v>14</v>
      </c>
      <c r="B15" s="7" t="s">
        <v>391</v>
      </c>
      <c r="C15" s="7">
        <v>31</v>
      </c>
      <c r="D15" s="7" t="s">
        <v>10</v>
      </c>
      <c r="E15" s="7">
        <v>1.4</v>
      </c>
      <c r="F15" s="7">
        <v>99</v>
      </c>
      <c r="G15" s="7">
        <v>244</v>
      </c>
      <c r="H15" s="7">
        <v>224</v>
      </c>
      <c r="I15" s="7">
        <v>30</v>
      </c>
      <c r="J15" s="7">
        <v>54</v>
      </c>
      <c r="K15" s="7">
        <v>9</v>
      </c>
      <c r="L15" s="7">
        <v>1</v>
      </c>
      <c r="M15" s="7">
        <v>5</v>
      </c>
      <c r="N15" s="7">
        <v>32</v>
      </c>
      <c r="O15" s="7">
        <v>2</v>
      </c>
      <c r="P15" s="7">
        <v>3</v>
      </c>
      <c r="Q15" s="7">
        <v>15</v>
      </c>
      <c r="R15" s="7">
        <v>63</v>
      </c>
      <c r="S15" s="7">
        <v>0.24099999999999999</v>
      </c>
      <c r="T15" s="7">
        <v>0.29499999999999998</v>
      </c>
      <c r="U15" s="7">
        <v>0.35699999999999998</v>
      </c>
      <c r="V15" s="7">
        <v>0.65200000000000002</v>
      </c>
      <c r="W15" s="7">
        <v>85</v>
      </c>
      <c r="X15" s="7">
        <v>0.28899999999999998</v>
      </c>
      <c r="Y15" s="7">
        <v>86</v>
      </c>
      <c r="Z15" s="7">
        <v>80</v>
      </c>
      <c r="AA15" s="7">
        <v>2</v>
      </c>
      <c r="AB15" s="7">
        <v>3</v>
      </c>
      <c r="AC15" s="7">
        <v>0</v>
      </c>
      <c r="AD15" s="7">
        <v>2</v>
      </c>
      <c r="AE15" s="7">
        <v>0</v>
      </c>
      <c r="AF15" s="7" t="s">
        <v>392</v>
      </c>
      <c r="AG15" s="7" t="s">
        <v>37</v>
      </c>
      <c r="AH15" s="7" t="s">
        <v>393</v>
      </c>
      <c r="AI15" s="7" t="s">
        <v>837</v>
      </c>
      <c r="AJ15" s="7" t="s">
        <v>822</v>
      </c>
      <c r="AK15" s="71" t="str">
        <f>IFERROR(VLOOKUP(B15,'DET Salary 2024'!A14:I48,7,FALSE), "No salary data")</f>
        <v>No salary data</v>
      </c>
    </row>
    <row r="16" spans="1:37" x14ac:dyDescent="0.25">
      <c r="A16" s="6">
        <v>15</v>
      </c>
      <c r="B16" s="6" t="s">
        <v>394</v>
      </c>
      <c r="C16" s="6">
        <v>29</v>
      </c>
      <c r="D16" s="6" t="s">
        <v>35</v>
      </c>
      <c r="E16" s="6">
        <v>0.7</v>
      </c>
      <c r="F16" s="6">
        <v>60</v>
      </c>
      <c r="G16" s="6">
        <v>203</v>
      </c>
      <c r="H16" s="6">
        <v>179</v>
      </c>
      <c r="I16" s="6">
        <v>21</v>
      </c>
      <c r="J16" s="6">
        <v>43</v>
      </c>
      <c r="K16" s="6">
        <v>4</v>
      </c>
      <c r="L16" s="6">
        <v>1</v>
      </c>
      <c r="M16" s="6">
        <v>7</v>
      </c>
      <c r="N16" s="6">
        <v>29</v>
      </c>
      <c r="O16" s="6">
        <v>0</v>
      </c>
      <c r="P16" s="6">
        <v>0</v>
      </c>
      <c r="Q16" s="6">
        <v>17</v>
      </c>
      <c r="R16" s="6">
        <v>40</v>
      </c>
      <c r="S16" s="6">
        <v>0.24</v>
      </c>
      <c r="T16" s="6">
        <v>0.32500000000000001</v>
      </c>
      <c r="U16" s="6">
        <v>0.39100000000000001</v>
      </c>
      <c r="V16" s="6">
        <v>0.71599999999999997</v>
      </c>
      <c r="W16" s="6">
        <v>104</v>
      </c>
      <c r="X16" s="6">
        <v>0.315</v>
      </c>
      <c r="Y16" s="6">
        <v>102</v>
      </c>
      <c r="Z16" s="6">
        <v>70</v>
      </c>
      <c r="AA16" s="6">
        <v>3</v>
      </c>
      <c r="AB16" s="6">
        <v>6</v>
      </c>
      <c r="AC16" s="6">
        <v>0</v>
      </c>
      <c r="AD16" s="6">
        <v>1</v>
      </c>
      <c r="AE16" s="6">
        <v>0</v>
      </c>
      <c r="AF16" s="6" t="s">
        <v>395</v>
      </c>
      <c r="AG16" s="6" t="s">
        <v>37</v>
      </c>
      <c r="AH16" s="6" t="s">
        <v>396</v>
      </c>
      <c r="AI16" s="6" t="s">
        <v>837</v>
      </c>
      <c r="AJ16" s="6" t="s">
        <v>822</v>
      </c>
      <c r="AK16" s="73" t="str">
        <f>IFERROR(VLOOKUP(B16,'DET Salary 2024'!A15:I49,7,FALSE), "No salary data")</f>
        <v>No salary data</v>
      </c>
    </row>
    <row r="17" spans="1:37" x14ac:dyDescent="0.25">
      <c r="A17" s="7">
        <v>16</v>
      </c>
      <c r="B17" s="7" t="s">
        <v>397</v>
      </c>
      <c r="C17" s="7">
        <v>24</v>
      </c>
      <c r="D17" s="7" t="s">
        <v>47</v>
      </c>
      <c r="E17" s="7">
        <v>0.7</v>
      </c>
      <c r="F17" s="7">
        <v>36</v>
      </c>
      <c r="G17" s="7">
        <v>119</v>
      </c>
      <c r="H17" s="7">
        <v>110</v>
      </c>
      <c r="I17" s="7">
        <v>11</v>
      </c>
      <c r="J17" s="7">
        <v>24</v>
      </c>
      <c r="K17" s="7">
        <v>5</v>
      </c>
      <c r="L17" s="7">
        <v>0</v>
      </c>
      <c r="M17" s="7">
        <v>4</v>
      </c>
      <c r="N17" s="7">
        <v>17</v>
      </c>
      <c r="O17" s="7">
        <v>2</v>
      </c>
      <c r="P17" s="7">
        <v>0</v>
      </c>
      <c r="Q17" s="7">
        <v>7</v>
      </c>
      <c r="R17" s="7">
        <v>32</v>
      </c>
      <c r="S17" s="7">
        <v>0.218</v>
      </c>
      <c r="T17" s="7">
        <v>0.26900000000000002</v>
      </c>
      <c r="U17" s="7">
        <v>0.373</v>
      </c>
      <c r="V17" s="7">
        <v>0.64200000000000002</v>
      </c>
      <c r="W17" s="7">
        <v>81</v>
      </c>
      <c r="X17" s="7">
        <v>0.28999999999999998</v>
      </c>
      <c r="Y17" s="7">
        <v>81</v>
      </c>
      <c r="Z17" s="7">
        <v>41</v>
      </c>
      <c r="AA17" s="7">
        <v>3</v>
      </c>
      <c r="AB17" s="7">
        <v>1</v>
      </c>
      <c r="AC17" s="7">
        <v>0</v>
      </c>
      <c r="AD17" s="7">
        <v>1</v>
      </c>
      <c r="AE17" s="7">
        <v>0</v>
      </c>
      <c r="AF17" s="7" t="s">
        <v>105</v>
      </c>
      <c r="AG17" s="7" t="s">
        <v>37</v>
      </c>
      <c r="AH17" s="7" t="s">
        <v>398</v>
      </c>
      <c r="AI17" s="7" t="s">
        <v>837</v>
      </c>
      <c r="AJ17" s="7" t="s">
        <v>822</v>
      </c>
      <c r="AK17" s="71">
        <f>IFERROR(VLOOKUP(B17,'DET Salary 2024'!A16:I50,7,FALSE), "No salary data")</f>
        <v>175032</v>
      </c>
    </row>
    <row r="18" spans="1:37" x14ac:dyDescent="0.25">
      <c r="A18" s="6">
        <v>17</v>
      </c>
      <c r="B18" s="6" t="s">
        <v>399</v>
      </c>
      <c r="C18" s="6">
        <v>23</v>
      </c>
      <c r="D18" s="6" t="s">
        <v>11</v>
      </c>
      <c r="E18" s="6">
        <v>-0.5</v>
      </c>
      <c r="F18" s="6">
        <v>34</v>
      </c>
      <c r="G18" s="6">
        <v>94</v>
      </c>
      <c r="H18" s="6">
        <v>79</v>
      </c>
      <c r="I18" s="6">
        <v>14</v>
      </c>
      <c r="J18" s="6">
        <v>19</v>
      </c>
      <c r="K18" s="6">
        <v>5</v>
      </c>
      <c r="L18" s="6">
        <v>0</v>
      </c>
      <c r="M18" s="6">
        <v>0</v>
      </c>
      <c r="N18" s="6">
        <v>3</v>
      </c>
      <c r="O18" s="6">
        <v>0</v>
      </c>
      <c r="P18" s="6">
        <v>1</v>
      </c>
      <c r="Q18" s="6">
        <v>15</v>
      </c>
      <c r="R18" s="6">
        <v>29</v>
      </c>
      <c r="S18" s="6">
        <v>0.24099999999999999</v>
      </c>
      <c r="T18" s="6">
        <v>0.36199999999999999</v>
      </c>
      <c r="U18" s="6">
        <v>0.30399999999999999</v>
      </c>
      <c r="V18" s="6">
        <v>0.66500000000000004</v>
      </c>
      <c r="W18" s="6">
        <v>93</v>
      </c>
      <c r="X18" s="6">
        <v>0.30399999999999999</v>
      </c>
      <c r="Y18" s="6">
        <v>97</v>
      </c>
      <c r="Z18" s="6">
        <v>24</v>
      </c>
      <c r="AA18" s="6">
        <v>3</v>
      </c>
      <c r="AB18" s="6">
        <v>0</v>
      </c>
      <c r="AC18" s="6">
        <v>0</v>
      </c>
      <c r="AD18" s="6">
        <v>0</v>
      </c>
      <c r="AE18" s="6">
        <v>0</v>
      </c>
      <c r="AF18" s="6" t="s">
        <v>400</v>
      </c>
      <c r="AG18" s="6" t="s">
        <v>37</v>
      </c>
      <c r="AH18" s="6" t="s">
        <v>401</v>
      </c>
      <c r="AI18" s="6" t="s">
        <v>837</v>
      </c>
      <c r="AJ18" s="6" t="s">
        <v>822</v>
      </c>
      <c r="AK18" s="73">
        <f>IFERROR(VLOOKUP(B18,'DET Salary 2024'!A17:I51,7,FALSE), "No salary data")</f>
        <v>175032</v>
      </c>
    </row>
    <row r="19" spans="1:37" x14ac:dyDescent="0.25">
      <c r="A19" s="7">
        <v>18</v>
      </c>
      <c r="B19" s="7" t="s">
        <v>402</v>
      </c>
      <c r="C19" s="7">
        <v>25</v>
      </c>
      <c r="D19" s="7" t="s">
        <v>35</v>
      </c>
      <c r="E19" s="7">
        <v>-0.3</v>
      </c>
      <c r="F19" s="7">
        <v>27</v>
      </c>
      <c r="G19" s="7">
        <v>87</v>
      </c>
      <c r="H19" s="7">
        <v>84</v>
      </c>
      <c r="I19" s="7">
        <v>2</v>
      </c>
      <c r="J19" s="7">
        <v>14</v>
      </c>
      <c r="K19" s="7">
        <v>5</v>
      </c>
      <c r="L19" s="7">
        <v>2</v>
      </c>
      <c r="M19" s="7">
        <v>1</v>
      </c>
      <c r="N19" s="7">
        <v>11</v>
      </c>
      <c r="O19" s="7">
        <v>0</v>
      </c>
      <c r="P19" s="7">
        <v>0</v>
      </c>
      <c r="Q19" s="7">
        <v>3</v>
      </c>
      <c r="R19" s="7">
        <v>30</v>
      </c>
      <c r="S19" s="7">
        <v>0.16700000000000001</v>
      </c>
      <c r="T19" s="7">
        <v>0.19500000000000001</v>
      </c>
      <c r="U19" s="7">
        <v>0.31</v>
      </c>
      <c r="V19" s="7">
        <v>0.505</v>
      </c>
      <c r="W19" s="7">
        <v>41</v>
      </c>
      <c r="X19" s="7">
        <v>0.217</v>
      </c>
      <c r="Y19" s="7">
        <v>31</v>
      </c>
      <c r="Z19" s="7">
        <v>26</v>
      </c>
      <c r="AA19" s="7">
        <v>2</v>
      </c>
      <c r="AB19" s="7">
        <v>0</v>
      </c>
      <c r="AC19" s="7">
        <v>0</v>
      </c>
      <c r="AD19" s="7">
        <v>0</v>
      </c>
      <c r="AE19" s="7">
        <v>0</v>
      </c>
      <c r="AF19" s="7" t="s">
        <v>84</v>
      </c>
      <c r="AG19" s="7" t="s">
        <v>37</v>
      </c>
      <c r="AH19" s="7" t="s">
        <v>403</v>
      </c>
      <c r="AI19" s="7" t="s">
        <v>837</v>
      </c>
      <c r="AJ19" s="7" t="s">
        <v>822</v>
      </c>
      <c r="AK19" s="71">
        <f>IFERROR(VLOOKUP(B19,'DET Salary 2024'!A18:I52,7,FALSE), "No salary data")</f>
        <v>242658</v>
      </c>
    </row>
    <row r="20" spans="1:37" x14ac:dyDescent="0.25">
      <c r="A20" s="6">
        <v>19</v>
      </c>
      <c r="B20" s="6" t="s">
        <v>404</v>
      </c>
      <c r="C20" s="6">
        <v>25</v>
      </c>
      <c r="D20" s="6" t="s">
        <v>54</v>
      </c>
      <c r="E20" s="6">
        <v>-0.5</v>
      </c>
      <c r="F20" s="6">
        <v>31</v>
      </c>
      <c r="G20" s="6">
        <v>82</v>
      </c>
      <c r="H20" s="6">
        <v>73</v>
      </c>
      <c r="I20" s="6">
        <v>7</v>
      </c>
      <c r="J20" s="6">
        <v>10</v>
      </c>
      <c r="K20" s="6">
        <v>2</v>
      </c>
      <c r="L20" s="6">
        <v>2</v>
      </c>
      <c r="M20" s="6">
        <v>2</v>
      </c>
      <c r="N20" s="6">
        <v>5</v>
      </c>
      <c r="O20" s="6">
        <v>1</v>
      </c>
      <c r="P20" s="6">
        <v>0</v>
      </c>
      <c r="Q20" s="6">
        <v>8</v>
      </c>
      <c r="R20" s="6">
        <v>27</v>
      </c>
      <c r="S20" s="6">
        <v>0.13700000000000001</v>
      </c>
      <c r="T20" s="6">
        <v>0.22</v>
      </c>
      <c r="U20" s="6">
        <v>0.30099999999999999</v>
      </c>
      <c r="V20" s="6">
        <v>0.52100000000000002</v>
      </c>
      <c r="W20" s="6">
        <v>47</v>
      </c>
      <c r="X20" s="6">
        <v>0.23</v>
      </c>
      <c r="Y20" s="6">
        <v>39</v>
      </c>
      <c r="Z20" s="6">
        <v>22</v>
      </c>
      <c r="AA20" s="6">
        <v>0</v>
      </c>
      <c r="AB20" s="6">
        <v>0</v>
      </c>
      <c r="AC20" s="6">
        <v>0</v>
      </c>
      <c r="AD20" s="6">
        <v>1</v>
      </c>
      <c r="AE20" s="6">
        <v>0</v>
      </c>
      <c r="AF20" s="6" t="s">
        <v>405</v>
      </c>
      <c r="AG20" s="6" t="s">
        <v>37</v>
      </c>
      <c r="AH20" s="6" t="s">
        <v>406</v>
      </c>
      <c r="AI20" s="6" t="s">
        <v>837</v>
      </c>
      <c r="AJ20" s="6" t="s">
        <v>822</v>
      </c>
      <c r="AK20" s="73" t="str">
        <f>IFERROR(VLOOKUP(B20,'DET Salary 2024'!A19:I53,7,FALSE), "No salary data")</f>
        <v>No salary data</v>
      </c>
    </row>
    <row r="21" spans="1:37" x14ac:dyDescent="0.25">
      <c r="A21" s="7">
        <v>20</v>
      </c>
      <c r="B21" s="7" t="s">
        <v>407</v>
      </c>
      <c r="C21" s="7">
        <v>28</v>
      </c>
      <c r="D21" s="7" t="s">
        <v>40</v>
      </c>
      <c r="E21" s="7">
        <v>0.2</v>
      </c>
      <c r="F21" s="7">
        <v>21</v>
      </c>
      <c r="G21" s="7">
        <v>75</v>
      </c>
      <c r="H21" s="7">
        <v>67</v>
      </c>
      <c r="I21" s="7">
        <v>8</v>
      </c>
      <c r="J21" s="7">
        <v>18</v>
      </c>
      <c r="K21" s="7">
        <v>3</v>
      </c>
      <c r="L21" s="7">
        <v>0</v>
      </c>
      <c r="M21" s="7">
        <v>1</v>
      </c>
      <c r="N21" s="7">
        <v>5</v>
      </c>
      <c r="O21" s="7">
        <v>0</v>
      </c>
      <c r="P21" s="7">
        <v>0</v>
      </c>
      <c r="Q21" s="7">
        <v>6</v>
      </c>
      <c r="R21" s="7">
        <v>20</v>
      </c>
      <c r="S21" s="7">
        <v>0.26900000000000002</v>
      </c>
      <c r="T21" s="7">
        <v>0.32400000000000001</v>
      </c>
      <c r="U21" s="7">
        <v>0.35799999999999998</v>
      </c>
      <c r="V21" s="7">
        <v>0.68300000000000005</v>
      </c>
      <c r="W21" s="7">
        <v>95</v>
      </c>
      <c r="X21" s="7">
        <v>0.29799999999999999</v>
      </c>
      <c r="Y21" s="7">
        <v>89</v>
      </c>
      <c r="Z21" s="7">
        <v>24</v>
      </c>
      <c r="AA21" s="7">
        <v>0</v>
      </c>
      <c r="AB21" s="7">
        <v>0</v>
      </c>
      <c r="AC21" s="7">
        <v>0</v>
      </c>
      <c r="AD21" s="7">
        <v>1</v>
      </c>
      <c r="AE21" s="7">
        <v>0</v>
      </c>
      <c r="AF21" s="7" t="s">
        <v>408</v>
      </c>
      <c r="AG21" s="7" t="s">
        <v>37</v>
      </c>
      <c r="AH21" s="7" t="s">
        <v>409</v>
      </c>
      <c r="AI21" s="7" t="s">
        <v>837</v>
      </c>
      <c r="AJ21" s="7" t="s">
        <v>822</v>
      </c>
      <c r="AK21" s="71" t="str">
        <f>IFERROR(VLOOKUP(B21,'DET Salary 2024'!A20:I54,7,FALSE), "No salary data")</f>
        <v>No salary data</v>
      </c>
    </row>
    <row r="22" spans="1:37" x14ac:dyDescent="0.25">
      <c r="A22" s="6">
        <v>21</v>
      </c>
      <c r="B22" s="6" t="s">
        <v>410</v>
      </c>
      <c r="C22" s="6">
        <v>26</v>
      </c>
      <c r="D22" s="6" t="s">
        <v>47</v>
      </c>
      <c r="E22" s="6">
        <v>-0.5</v>
      </c>
      <c r="F22" s="6">
        <v>35</v>
      </c>
      <c r="G22" s="6">
        <v>65</v>
      </c>
      <c r="H22" s="6">
        <v>59</v>
      </c>
      <c r="I22" s="6">
        <v>9</v>
      </c>
      <c r="J22" s="6">
        <v>7</v>
      </c>
      <c r="K22" s="6">
        <v>0</v>
      </c>
      <c r="L22" s="6">
        <v>0</v>
      </c>
      <c r="M22" s="6">
        <v>1</v>
      </c>
      <c r="N22" s="6">
        <v>2</v>
      </c>
      <c r="O22" s="6">
        <v>5</v>
      </c>
      <c r="P22" s="6">
        <v>3</v>
      </c>
      <c r="Q22" s="6">
        <v>6</v>
      </c>
      <c r="R22" s="6">
        <v>19</v>
      </c>
      <c r="S22" s="6">
        <v>0.11899999999999999</v>
      </c>
      <c r="T22" s="6">
        <v>0.2</v>
      </c>
      <c r="U22" s="6">
        <v>0.16900000000000001</v>
      </c>
      <c r="V22" s="6">
        <v>0.36899999999999999</v>
      </c>
      <c r="W22" s="6">
        <v>7</v>
      </c>
      <c r="X22" s="6">
        <v>0.17</v>
      </c>
      <c r="Y22" s="6">
        <v>1</v>
      </c>
      <c r="Z22" s="6">
        <v>10</v>
      </c>
      <c r="AA22" s="6">
        <v>2</v>
      </c>
      <c r="AB22" s="6">
        <v>0</v>
      </c>
      <c r="AC22" s="6">
        <v>0</v>
      </c>
      <c r="AD22" s="6">
        <v>0</v>
      </c>
      <c r="AE22" s="6">
        <v>0</v>
      </c>
      <c r="AF22" s="6" t="s">
        <v>411</v>
      </c>
      <c r="AG22" s="6" t="s">
        <v>37</v>
      </c>
      <c r="AH22" s="6" t="s">
        <v>412</v>
      </c>
      <c r="AI22" s="6" t="s">
        <v>837</v>
      </c>
      <c r="AJ22" s="6" t="s">
        <v>822</v>
      </c>
      <c r="AK22" s="73" t="str">
        <f>IFERROR(VLOOKUP(B22,'DET Salary 2024'!A21:I55,7,FALSE), "No salary data")</f>
        <v>No salary data</v>
      </c>
    </row>
    <row r="23" spans="1:37" x14ac:dyDescent="0.25">
      <c r="A23" s="7">
        <v>22</v>
      </c>
      <c r="B23" s="7" t="s">
        <v>413</v>
      </c>
      <c r="C23" s="7">
        <v>25</v>
      </c>
      <c r="D23" s="7" t="s">
        <v>74</v>
      </c>
      <c r="E23" s="7">
        <v>-0.7</v>
      </c>
      <c r="F23" s="7">
        <v>17</v>
      </c>
      <c r="G23" s="7">
        <v>49</v>
      </c>
      <c r="H23" s="7">
        <v>45</v>
      </c>
      <c r="I23" s="7">
        <v>5</v>
      </c>
      <c r="J23" s="7">
        <v>8</v>
      </c>
      <c r="K23" s="7">
        <v>0</v>
      </c>
      <c r="L23" s="7">
        <v>0</v>
      </c>
      <c r="M23" s="7">
        <v>1</v>
      </c>
      <c r="N23" s="7">
        <v>5</v>
      </c>
      <c r="O23" s="7">
        <v>0</v>
      </c>
      <c r="P23" s="7">
        <v>0</v>
      </c>
      <c r="Q23" s="7">
        <v>2</v>
      </c>
      <c r="R23" s="7">
        <v>12</v>
      </c>
      <c r="S23" s="7">
        <v>0.17799999999999999</v>
      </c>
      <c r="T23" s="7">
        <v>0.20799999999999999</v>
      </c>
      <c r="U23" s="7">
        <v>0.24399999999999999</v>
      </c>
      <c r="V23" s="7">
        <v>0.45300000000000001</v>
      </c>
      <c r="W23" s="7">
        <v>29</v>
      </c>
      <c r="X23" s="7">
        <v>0.218</v>
      </c>
      <c r="Y23" s="7">
        <v>31</v>
      </c>
      <c r="Z23" s="7">
        <v>11</v>
      </c>
      <c r="AA23" s="7">
        <v>2</v>
      </c>
      <c r="AB23" s="7">
        <v>0</v>
      </c>
      <c r="AC23" s="7">
        <v>1</v>
      </c>
      <c r="AD23" s="7">
        <v>1</v>
      </c>
      <c r="AE23" s="7">
        <v>0</v>
      </c>
      <c r="AF23" s="7" t="s">
        <v>414</v>
      </c>
      <c r="AG23" s="7" t="s">
        <v>37</v>
      </c>
      <c r="AH23" s="7" t="s">
        <v>415</v>
      </c>
      <c r="AI23" s="7" t="s">
        <v>837</v>
      </c>
      <c r="AJ23" s="7" t="s">
        <v>822</v>
      </c>
      <c r="AK23" s="71" t="str">
        <f>IFERROR(VLOOKUP(B23,'DET Salary 2024'!A22:I56,7,FALSE), "No salary data")</f>
        <v>No salary data</v>
      </c>
    </row>
    <row r="24" spans="1:37" x14ac:dyDescent="0.25">
      <c r="A24" s="6">
        <v>23</v>
      </c>
      <c r="B24" s="6" t="s">
        <v>416</v>
      </c>
      <c r="C24" s="6">
        <v>25</v>
      </c>
      <c r="D24" s="6" t="s">
        <v>108</v>
      </c>
      <c r="E24" s="6">
        <v>0.2</v>
      </c>
      <c r="F24" s="6">
        <v>6</v>
      </c>
      <c r="G24" s="6">
        <v>13</v>
      </c>
      <c r="H24" s="6">
        <v>10</v>
      </c>
      <c r="I24" s="6">
        <v>2</v>
      </c>
      <c r="J24" s="6">
        <v>2</v>
      </c>
      <c r="K24" s="6">
        <v>0</v>
      </c>
      <c r="L24" s="6">
        <v>0</v>
      </c>
      <c r="M24" s="6">
        <v>1</v>
      </c>
      <c r="N24" s="6">
        <v>4</v>
      </c>
      <c r="O24" s="6">
        <v>1</v>
      </c>
      <c r="P24" s="6">
        <v>0</v>
      </c>
      <c r="Q24" s="6">
        <v>2</v>
      </c>
      <c r="R24" s="6">
        <v>4</v>
      </c>
      <c r="S24" s="6">
        <v>0.2</v>
      </c>
      <c r="T24" s="6">
        <v>0.308</v>
      </c>
      <c r="U24" s="6">
        <v>0.5</v>
      </c>
      <c r="V24" s="6">
        <v>0.80800000000000005</v>
      </c>
      <c r="W24" s="6">
        <v>125</v>
      </c>
      <c r="X24" s="6">
        <v>0.35</v>
      </c>
      <c r="Y24" s="6">
        <v>114</v>
      </c>
      <c r="Z24" s="6">
        <v>5</v>
      </c>
      <c r="AA24" s="6">
        <v>0</v>
      </c>
      <c r="AB24" s="6">
        <v>0</v>
      </c>
      <c r="AC24" s="6">
        <v>0</v>
      </c>
      <c r="AD24" s="6">
        <v>1</v>
      </c>
      <c r="AE24" s="6">
        <v>0</v>
      </c>
      <c r="AF24" s="6" t="s">
        <v>417</v>
      </c>
      <c r="AG24" s="6" t="s">
        <v>37</v>
      </c>
      <c r="AH24" s="6" t="s">
        <v>418</v>
      </c>
      <c r="AI24" s="6" t="s">
        <v>837</v>
      </c>
      <c r="AJ24" s="6" t="s">
        <v>822</v>
      </c>
      <c r="AK24" s="73" t="str">
        <f>IFERROR(VLOOKUP(B24,'DET Salary 2024'!A23:I57,7,FALSE), "No salary data")</f>
        <v>No salary data</v>
      </c>
    </row>
    <row r="25" spans="1:37" x14ac:dyDescent="0.25">
      <c r="A25" s="7">
        <v>24</v>
      </c>
      <c r="B25" s="7" t="s">
        <v>419</v>
      </c>
      <c r="C25" s="7">
        <v>28</v>
      </c>
      <c r="D25" s="7" t="s">
        <v>132</v>
      </c>
      <c r="E25" s="7">
        <v>0</v>
      </c>
      <c r="F25" s="7">
        <v>1</v>
      </c>
      <c r="G25" s="7">
        <v>0</v>
      </c>
      <c r="H25" s="7">
        <v>0</v>
      </c>
      <c r="I25" s="7">
        <v>0</v>
      </c>
      <c r="J25" s="7">
        <v>0</v>
      </c>
      <c r="K25" s="7">
        <v>0</v>
      </c>
      <c r="L25" s="7">
        <v>0</v>
      </c>
      <c r="M25" s="7">
        <v>0</v>
      </c>
      <c r="N25" s="7">
        <v>0</v>
      </c>
      <c r="O25" s="7">
        <v>0</v>
      </c>
      <c r="P25" s="7">
        <v>0</v>
      </c>
      <c r="Q25" s="7">
        <v>0</v>
      </c>
      <c r="R25" s="7">
        <v>0</v>
      </c>
      <c r="S25" s="7"/>
      <c r="T25" s="7"/>
      <c r="U25" s="7"/>
      <c r="V25" s="7"/>
      <c r="W25" s="7"/>
      <c r="X25" s="7"/>
      <c r="Y25" s="7"/>
      <c r="Z25" s="7">
        <v>0</v>
      </c>
      <c r="AA25" s="7">
        <v>0</v>
      </c>
      <c r="AB25" s="7">
        <v>0</v>
      </c>
      <c r="AC25" s="7">
        <v>0</v>
      </c>
      <c r="AD25" s="7">
        <v>0</v>
      </c>
      <c r="AE25" s="7">
        <v>0</v>
      </c>
      <c r="AF25" s="7" t="s">
        <v>133</v>
      </c>
      <c r="AG25" s="7" t="s">
        <v>37</v>
      </c>
      <c r="AH25" s="7" t="s">
        <v>420</v>
      </c>
      <c r="AI25" s="7" t="s">
        <v>837</v>
      </c>
      <c r="AJ25" s="7" t="s">
        <v>822</v>
      </c>
      <c r="AK25" s="71" t="str">
        <f>IFERROR(VLOOKUP(B25,'DET Salary 2024'!A24:I58,7,FALSE), "No salary data")</f>
        <v>No salary data</v>
      </c>
    </row>
    <row r="26" spans="1:37" x14ac:dyDescent="0.25">
      <c r="A26" s="20">
        <v>25</v>
      </c>
      <c r="B26" s="20" t="s">
        <v>421</v>
      </c>
      <c r="C26" s="20">
        <v>24</v>
      </c>
      <c r="D26" s="20" t="s">
        <v>132</v>
      </c>
      <c r="E26" s="20">
        <v>0</v>
      </c>
      <c r="F26" s="20">
        <v>1</v>
      </c>
      <c r="G26" s="20">
        <v>0</v>
      </c>
      <c r="H26" s="20">
        <v>0</v>
      </c>
      <c r="I26" s="20">
        <v>0</v>
      </c>
      <c r="J26" s="20">
        <v>0</v>
      </c>
      <c r="K26" s="20">
        <v>0</v>
      </c>
      <c r="L26" s="20">
        <v>0</v>
      </c>
      <c r="M26" s="20">
        <v>0</v>
      </c>
      <c r="N26" s="20">
        <v>0</v>
      </c>
      <c r="O26" s="20">
        <v>0</v>
      </c>
      <c r="P26" s="20">
        <v>0</v>
      </c>
      <c r="Q26" s="20">
        <v>0</v>
      </c>
      <c r="R26" s="20">
        <v>0</v>
      </c>
      <c r="S26" s="20"/>
      <c r="T26" s="20"/>
      <c r="U26" s="20"/>
      <c r="V26" s="20"/>
      <c r="W26" s="20"/>
      <c r="X26" s="20"/>
      <c r="Y26" s="20"/>
      <c r="Z26" s="20">
        <v>0</v>
      </c>
      <c r="AA26" s="20">
        <v>0</v>
      </c>
      <c r="AB26" s="20">
        <v>0</v>
      </c>
      <c r="AC26" s="20">
        <v>0</v>
      </c>
      <c r="AD26" s="20">
        <v>0</v>
      </c>
      <c r="AE26" s="20">
        <v>0</v>
      </c>
      <c r="AF26" s="20" t="s">
        <v>133</v>
      </c>
      <c r="AG26" s="20" t="s">
        <v>37</v>
      </c>
      <c r="AH26" s="20" t="s">
        <v>422</v>
      </c>
      <c r="AI26" s="20" t="s">
        <v>837</v>
      </c>
      <c r="AJ26" s="20" t="s">
        <v>822</v>
      </c>
      <c r="AK26" s="83" t="str">
        <f>IFERROR(VLOOKUP(B26,'DET Salary 2024'!A25:I59,7,FALSE), "No salary data")</f>
        <v>No salary data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0AFF99-85F9-4D34-A17E-1685B2F355BD}">
  <sheetPr codeName="Sheet8"/>
  <dimension ref="A1:AN27"/>
  <sheetViews>
    <sheetView topLeftCell="R1" zoomScale="71" workbookViewId="0">
      <selection sqref="A1:AN27"/>
    </sheetView>
  </sheetViews>
  <sheetFormatPr defaultRowHeight="15" x14ac:dyDescent="0.25"/>
  <cols>
    <col min="1" max="1" width="5.28515625" bestFit="1" customWidth="1"/>
    <col min="2" max="2" width="14.85546875" bestFit="1" customWidth="1"/>
    <col min="3" max="4" width="6.140625" bestFit="1" customWidth="1"/>
    <col min="5" max="5" width="7" bestFit="1" customWidth="1"/>
    <col min="6" max="6" width="4.7109375" bestFit="1" customWidth="1"/>
    <col min="7" max="7" width="4" bestFit="1" customWidth="1"/>
    <col min="8" max="8" width="7.85546875" bestFit="1" customWidth="1"/>
    <col min="9" max="9" width="6.42578125" bestFit="1" customWidth="1"/>
    <col min="10" max="10" width="4.42578125" bestFit="1" customWidth="1"/>
    <col min="11" max="12" width="5.42578125" bestFit="1" customWidth="1"/>
    <col min="13" max="13" width="5.5703125" bestFit="1" customWidth="1"/>
    <col min="14" max="14" width="6.7109375" bestFit="1" customWidth="1"/>
    <col min="15" max="15" width="5.28515625" bestFit="1" customWidth="1"/>
    <col min="16" max="16" width="5.85546875" bestFit="1" customWidth="1"/>
    <col min="17" max="17" width="4.42578125" bestFit="1" customWidth="1"/>
    <col min="18" max="18" width="4.28515625" bestFit="1" customWidth="1"/>
    <col min="19" max="19" width="5.28515625" bestFit="1" customWidth="1"/>
    <col min="20" max="20" width="5.5703125" bestFit="1" customWidth="1"/>
    <col min="21" max="21" width="5.28515625" bestFit="1" customWidth="1"/>
    <col min="22" max="22" width="5.85546875" bestFit="1" customWidth="1"/>
    <col min="23" max="23" width="5.42578125" bestFit="1" customWidth="1"/>
    <col min="24" max="24" width="6.5703125" bestFit="1" customWidth="1"/>
    <col min="25" max="25" width="5.28515625" bestFit="1" customWidth="1"/>
    <col min="26" max="26" width="5.85546875" bestFit="1" customWidth="1"/>
    <col min="27" max="27" width="5.140625" bestFit="1" customWidth="1"/>
    <col min="28" max="28" width="7.42578125" bestFit="1" customWidth="1"/>
    <col min="29" max="29" width="5.85546875" bestFit="1" customWidth="1"/>
    <col min="30" max="30" width="7.5703125" bestFit="1" customWidth="1"/>
    <col min="31" max="31" width="5.42578125" bestFit="1" customWidth="1"/>
    <col min="32" max="32" width="6.5703125" bestFit="1" customWidth="1"/>
    <col min="33" max="33" width="6.28515625" bestFit="1" customWidth="1"/>
    <col min="34" max="34" width="6.42578125" bestFit="1" customWidth="1"/>
    <col min="35" max="35" width="8.42578125" bestFit="1" customWidth="1"/>
    <col min="36" max="36" width="13.28515625" bestFit="1" customWidth="1"/>
    <col min="37" max="37" width="17.5703125" bestFit="1" customWidth="1"/>
    <col min="38" max="38" width="21.7109375" bestFit="1" customWidth="1"/>
    <col min="40" max="40" width="14" style="1" bestFit="1" customWidth="1"/>
  </cols>
  <sheetData>
    <row r="1" spans="1:40" x14ac:dyDescent="0.25">
      <c r="A1" s="79" t="s">
        <v>0</v>
      </c>
      <c r="B1" s="79" t="s">
        <v>1</v>
      </c>
      <c r="C1" s="79" t="s">
        <v>2</v>
      </c>
      <c r="D1" s="79" t="s">
        <v>3</v>
      </c>
      <c r="E1" s="79" t="s">
        <v>4</v>
      </c>
      <c r="F1" s="79" t="s">
        <v>137</v>
      </c>
      <c r="G1" s="79" t="s">
        <v>138</v>
      </c>
      <c r="H1" s="79" t="s">
        <v>139</v>
      </c>
      <c r="I1" s="79" t="s">
        <v>140</v>
      </c>
      <c r="J1" s="79" t="s">
        <v>5</v>
      </c>
      <c r="K1" s="79" t="s">
        <v>141</v>
      </c>
      <c r="L1" s="79" t="s">
        <v>142</v>
      </c>
      <c r="M1" s="79" t="s">
        <v>143</v>
      </c>
      <c r="N1" s="79" t="s">
        <v>144</v>
      </c>
      <c r="O1" s="79" t="s">
        <v>145</v>
      </c>
      <c r="P1" s="79" t="s">
        <v>146</v>
      </c>
      <c r="Q1" s="79" t="s">
        <v>9</v>
      </c>
      <c r="R1" s="79" t="s">
        <v>8</v>
      </c>
      <c r="S1" s="79" t="s">
        <v>147</v>
      </c>
      <c r="T1" s="79" t="s">
        <v>12</v>
      </c>
      <c r="U1" s="79" t="s">
        <v>16</v>
      </c>
      <c r="V1" s="79" t="s">
        <v>30</v>
      </c>
      <c r="W1" s="79" t="s">
        <v>17</v>
      </c>
      <c r="X1" s="79" t="s">
        <v>27</v>
      </c>
      <c r="Y1" s="79" t="s">
        <v>148</v>
      </c>
      <c r="Z1" s="79" t="s">
        <v>149</v>
      </c>
      <c r="AA1" s="79" t="s">
        <v>150</v>
      </c>
      <c r="AB1" s="79" t="s">
        <v>151</v>
      </c>
      <c r="AC1" s="79" t="s">
        <v>152</v>
      </c>
      <c r="AD1" s="79" t="s">
        <v>153</v>
      </c>
      <c r="AE1" s="79" t="s">
        <v>154</v>
      </c>
      <c r="AF1" s="79" t="s">
        <v>155</v>
      </c>
      <c r="AG1" s="79" t="s">
        <v>156</v>
      </c>
      <c r="AH1" s="79" t="s">
        <v>157</v>
      </c>
      <c r="AI1" s="79" t="s">
        <v>158</v>
      </c>
      <c r="AJ1" s="79" t="s">
        <v>32</v>
      </c>
      <c r="AK1" s="79" t="s">
        <v>33</v>
      </c>
      <c r="AL1" s="79" t="s">
        <v>836</v>
      </c>
      <c r="AM1" s="79" t="s">
        <v>817</v>
      </c>
      <c r="AN1" s="81" t="s">
        <v>840</v>
      </c>
    </row>
    <row r="2" spans="1:40" x14ac:dyDescent="0.25">
      <c r="A2" s="80">
        <v>1</v>
      </c>
      <c r="B2" s="80" t="s">
        <v>423</v>
      </c>
      <c r="C2" s="80">
        <v>27</v>
      </c>
      <c r="D2" s="80" t="s">
        <v>160</v>
      </c>
      <c r="E2" s="80">
        <v>6.4</v>
      </c>
      <c r="F2" s="80">
        <v>18</v>
      </c>
      <c r="G2" s="80">
        <v>4</v>
      </c>
      <c r="H2" s="80">
        <v>0.81799999999999995</v>
      </c>
      <c r="I2" s="80">
        <v>2.39</v>
      </c>
      <c r="J2" s="80">
        <v>31</v>
      </c>
      <c r="K2" s="80">
        <v>31</v>
      </c>
      <c r="L2" s="80">
        <v>0</v>
      </c>
      <c r="M2" s="80">
        <v>0</v>
      </c>
      <c r="N2" s="80">
        <v>0</v>
      </c>
      <c r="O2" s="80">
        <v>0</v>
      </c>
      <c r="P2" s="80">
        <v>192</v>
      </c>
      <c r="Q2" s="80">
        <v>142</v>
      </c>
      <c r="R2" s="80">
        <v>54</v>
      </c>
      <c r="S2" s="80">
        <v>51</v>
      </c>
      <c r="T2" s="80">
        <v>15</v>
      </c>
      <c r="U2" s="80">
        <v>35</v>
      </c>
      <c r="V2" s="80">
        <v>0</v>
      </c>
      <c r="W2" s="80">
        <v>228</v>
      </c>
      <c r="X2" s="80">
        <v>9</v>
      </c>
      <c r="Y2" s="80">
        <v>0</v>
      </c>
      <c r="Z2" s="80">
        <v>2</v>
      </c>
      <c r="AA2" s="80">
        <v>753</v>
      </c>
      <c r="AB2" s="80">
        <v>170</v>
      </c>
      <c r="AC2" s="80">
        <v>2.4900000000000002</v>
      </c>
      <c r="AD2" s="80">
        <v>0.92200000000000004</v>
      </c>
      <c r="AE2" s="80">
        <v>6.7</v>
      </c>
      <c r="AF2" s="80">
        <v>0.7</v>
      </c>
      <c r="AG2" s="80">
        <v>1.6</v>
      </c>
      <c r="AH2" s="80">
        <v>10.7</v>
      </c>
      <c r="AI2" s="80">
        <v>6.51</v>
      </c>
      <c r="AJ2" s="80" t="s">
        <v>424</v>
      </c>
      <c r="AK2" s="80" t="s">
        <v>425</v>
      </c>
      <c r="AL2" s="80" t="s">
        <v>838</v>
      </c>
      <c r="AM2" s="80" t="s">
        <v>822</v>
      </c>
      <c r="AN2" s="82">
        <f>IFERROR(VLOOKUP(B2,'DET Salary 2024'!$A$1:$I$35,7,FALSE), "No salary data")</f>
        <v>2650000</v>
      </c>
    </row>
    <row r="3" spans="1:40" x14ac:dyDescent="0.25">
      <c r="A3" s="7">
        <v>2</v>
      </c>
      <c r="B3" s="7" t="s">
        <v>426</v>
      </c>
      <c r="C3" s="7">
        <v>24</v>
      </c>
      <c r="D3" s="7" t="s">
        <v>160</v>
      </c>
      <c r="E3" s="7">
        <v>1.3</v>
      </c>
      <c r="F3" s="7">
        <v>4</v>
      </c>
      <c r="G3" s="7">
        <v>8</v>
      </c>
      <c r="H3" s="7">
        <v>0.33300000000000002</v>
      </c>
      <c r="I3" s="7">
        <v>3.53</v>
      </c>
      <c r="J3" s="7">
        <v>22</v>
      </c>
      <c r="K3" s="7">
        <v>22</v>
      </c>
      <c r="L3" s="7">
        <v>0</v>
      </c>
      <c r="M3" s="7">
        <v>0</v>
      </c>
      <c r="N3" s="7">
        <v>0</v>
      </c>
      <c r="O3" s="7">
        <v>0</v>
      </c>
      <c r="P3" s="7">
        <v>112.1</v>
      </c>
      <c r="Q3" s="7">
        <v>100</v>
      </c>
      <c r="R3" s="7">
        <v>51</v>
      </c>
      <c r="S3" s="7">
        <v>44</v>
      </c>
      <c r="T3" s="7">
        <v>7</v>
      </c>
      <c r="U3" s="7">
        <v>33</v>
      </c>
      <c r="V3" s="7">
        <v>0</v>
      </c>
      <c r="W3" s="7">
        <v>101</v>
      </c>
      <c r="X3" s="7">
        <v>4</v>
      </c>
      <c r="Y3" s="7">
        <v>0</v>
      </c>
      <c r="Z3" s="7">
        <v>4</v>
      </c>
      <c r="AA3" s="7">
        <v>465</v>
      </c>
      <c r="AB3" s="7">
        <v>116</v>
      </c>
      <c r="AC3" s="7">
        <v>3.17</v>
      </c>
      <c r="AD3" s="7">
        <v>1.1839999999999999</v>
      </c>
      <c r="AE3" s="7">
        <v>8</v>
      </c>
      <c r="AF3" s="7">
        <v>0.6</v>
      </c>
      <c r="AG3" s="7">
        <v>2.6</v>
      </c>
      <c r="AH3" s="7">
        <v>8.1</v>
      </c>
      <c r="AI3" s="7">
        <v>3.06</v>
      </c>
      <c r="AJ3" s="7" t="s">
        <v>37</v>
      </c>
      <c r="AK3" s="7" t="s">
        <v>427</v>
      </c>
      <c r="AL3" s="7" t="s">
        <v>838</v>
      </c>
      <c r="AM3" s="7" t="s">
        <v>822</v>
      </c>
      <c r="AN3" s="82">
        <f>IFERROR(VLOOKUP(B3,'DET Salary 2024'!$A$1:$I$35,7,FALSE), "No salary data")</f>
        <v>1013438</v>
      </c>
    </row>
    <row r="4" spans="1:40" x14ac:dyDescent="0.25">
      <c r="A4" s="6">
        <v>3</v>
      </c>
      <c r="B4" s="6" t="s">
        <v>428</v>
      </c>
      <c r="C4" s="6">
        <v>36</v>
      </c>
      <c r="D4" s="6" t="s">
        <v>160</v>
      </c>
      <c r="E4" s="6">
        <v>-1.8</v>
      </c>
      <c r="F4" s="6">
        <v>3</v>
      </c>
      <c r="G4" s="6">
        <v>7</v>
      </c>
      <c r="H4" s="6">
        <v>0.3</v>
      </c>
      <c r="I4" s="6">
        <v>6.09</v>
      </c>
      <c r="J4" s="6">
        <v>29</v>
      </c>
      <c r="K4" s="6">
        <v>17</v>
      </c>
      <c r="L4" s="6">
        <v>2</v>
      </c>
      <c r="M4" s="6">
        <v>0</v>
      </c>
      <c r="N4" s="6">
        <v>0</v>
      </c>
      <c r="O4" s="6">
        <v>0</v>
      </c>
      <c r="P4" s="6">
        <v>112.1</v>
      </c>
      <c r="Q4" s="6">
        <v>124</v>
      </c>
      <c r="R4" s="6">
        <v>80</v>
      </c>
      <c r="S4" s="6">
        <v>76</v>
      </c>
      <c r="T4" s="6">
        <v>22</v>
      </c>
      <c r="U4" s="6">
        <v>31</v>
      </c>
      <c r="V4" s="6">
        <v>0</v>
      </c>
      <c r="W4" s="6">
        <v>96</v>
      </c>
      <c r="X4" s="6">
        <v>5</v>
      </c>
      <c r="Y4" s="6">
        <v>0</v>
      </c>
      <c r="Z4" s="6">
        <v>3</v>
      </c>
      <c r="AA4" s="6">
        <v>485</v>
      </c>
      <c r="AB4" s="6">
        <v>67</v>
      </c>
      <c r="AC4" s="6">
        <v>4.96</v>
      </c>
      <c r="AD4" s="6">
        <v>1.38</v>
      </c>
      <c r="AE4" s="6">
        <v>9.9</v>
      </c>
      <c r="AF4" s="6">
        <v>1.8</v>
      </c>
      <c r="AG4" s="6">
        <v>2.5</v>
      </c>
      <c r="AH4" s="6">
        <v>7.7</v>
      </c>
      <c r="AI4" s="6">
        <v>3.1</v>
      </c>
      <c r="AJ4" s="6" t="s">
        <v>37</v>
      </c>
      <c r="AK4" s="6" t="s">
        <v>429</v>
      </c>
      <c r="AL4" s="6" t="s">
        <v>838</v>
      </c>
      <c r="AM4" s="6" t="s">
        <v>822</v>
      </c>
      <c r="AN4" s="82">
        <f>IFERROR(VLOOKUP(B4,'DET Salary 2024'!$A$1:$I$35,7,FALSE), "No salary data")</f>
        <v>14000000</v>
      </c>
    </row>
    <row r="5" spans="1:40" x14ac:dyDescent="0.25">
      <c r="A5" s="7">
        <v>4</v>
      </c>
      <c r="B5" s="7" t="s">
        <v>430</v>
      </c>
      <c r="C5" s="7">
        <v>28</v>
      </c>
      <c r="D5" s="7" t="s">
        <v>160</v>
      </c>
      <c r="E5" s="7">
        <v>2.4</v>
      </c>
      <c r="F5" s="7">
        <v>7</v>
      </c>
      <c r="G5" s="7">
        <v>5</v>
      </c>
      <c r="H5" s="7">
        <v>0.58299999999999996</v>
      </c>
      <c r="I5" s="7">
        <v>2.95</v>
      </c>
      <c r="J5" s="7">
        <v>18</v>
      </c>
      <c r="K5" s="7">
        <v>18</v>
      </c>
      <c r="L5" s="7">
        <v>0</v>
      </c>
      <c r="M5" s="7">
        <v>0</v>
      </c>
      <c r="N5" s="7">
        <v>0</v>
      </c>
      <c r="O5" s="7">
        <v>0</v>
      </c>
      <c r="P5" s="7">
        <v>106.2</v>
      </c>
      <c r="Q5" s="7">
        <v>83</v>
      </c>
      <c r="R5" s="7">
        <v>38</v>
      </c>
      <c r="S5" s="7">
        <v>35</v>
      </c>
      <c r="T5" s="7">
        <v>15</v>
      </c>
      <c r="U5" s="7">
        <v>19</v>
      </c>
      <c r="V5" s="7">
        <v>0</v>
      </c>
      <c r="W5" s="7">
        <v>133</v>
      </c>
      <c r="X5" s="7">
        <v>3</v>
      </c>
      <c r="Y5" s="7">
        <v>0</v>
      </c>
      <c r="Z5" s="7">
        <v>4</v>
      </c>
      <c r="AA5" s="7">
        <v>415</v>
      </c>
      <c r="AB5" s="7">
        <v>138</v>
      </c>
      <c r="AC5" s="7">
        <v>3.12</v>
      </c>
      <c r="AD5" s="7">
        <v>0.95599999999999996</v>
      </c>
      <c r="AE5" s="7">
        <v>7</v>
      </c>
      <c r="AF5" s="7">
        <v>1.3</v>
      </c>
      <c r="AG5" s="7">
        <v>1.6</v>
      </c>
      <c r="AH5" s="7">
        <v>11.2</v>
      </c>
      <c r="AI5" s="7">
        <v>7</v>
      </c>
      <c r="AJ5" s="7" t="s">
        <v>37</v>
      </c>
      <c r="AK5" s="7" t="s">
        <v>431</v>
      </c>
      <c r="AL5" s="7" t="s">
        <v>838</v>
      </c>
      <c r="AM5" s="7" t="s">
        <v>822</v>
      </c>
      <c r="AN5" s="82" t="str">
        <f>IFERROR(VLOOKUP(B5,'DET Salary 2024'!$A$1:$I$35,7,FALSE), "No salary data")</f>
        <v>No salary data</v>
      </c>
    </row>
    <row r="6" spans="1:40" x14ac:dyDescent="0.25">
      <c r="A6" s="6">
        <v>5</v>
      </c>
      <c r="B6" s="6" t="s">
        <v>432</v>
      </c>
      <c r="C6" s="6">
        <v>27</v>
      </c>
      <c r="D6" s="6" t="s">
        <v>160</v>
      </c>
      <c r="E6" s="6">
        <v>0.2</v>
      </c>
      <c r="F6" s="6">
        <v>2</v>
      </c>
      <c r="G6" s="6">
        <v>6</v>
      </c>
      <c r="H6" s="6">
        <v>0.25</v>
      </c>
      <c r="I6" s="6">
        <v>4.49</v>
      </c>
      <c r="J6" s="6">
        <v>22</v>
      </c>
      <c r="K6" s="6">
        <v>20</v>
      </c>
      <c r="L6" s="6">
        <v>0</v>
      </c>
      <c r="M6" s="6">
        <v>0</v>
      </c>
      <c r="N6" s="6">
        <v>0</v>
      </c>
      <c r="O6" s="6">
        <v>0</v>
      </c>
      <c r="P6" s="6">
        <v>102.1</v>
      </c>
      <c r="Q6" s="6">
        <v>121</v>
      </c>
      <c r="R6" s="6">
        <v>57</v>
      </c>
      <c r="S6" s="6">
        <v>51</v>
      </c>
      <c r="T6" s="6">
        <v>11</v>
      </c>
      <c r="U6" s="6">
        <v>29</v>
      </c>
      <c r="V6" s="6">
        <v>0</v>
      </c>
      <c r="W6" s="6">
        <v>78</v>
      </c>
      <c r="X6" s="6">
        <v>2</v>
      </c>
      <c r="Y6" s="6">
        <v>1</v>
      </c>
      <c r="Z6" s="6">
        <v>2</v>
      </c>
      <c r="AA6" s="6">
        <v>452</v>
      </c>
      <c r="AB6" s="6">
        <v>91</v>
      </c>
      <c r="AC6" s="6">
        <v>3.95</v>
      </c>
      <c r="AD6" s="6">
        <v>1.466</v>
      </c>
      <c r="AE6" s="6">
        <v>10.6</v>
      </c>
      <c r="AF6" s="6">
        <v>1</v>
      </c>
      <c r="AG6" s="6">
        <v>2.6</v>
      </c>
      <c r="AH6" s="6">
        <v>6.9</v>
      </c>
      <c r="AI6" s="6">
        <v>2.69</v>
      </c>
      <c r="AJ6" s="6" t="s">
        <v>37</v>
      </c>
      <c r="AK6" s="6" t="s">
        <v>433</v>
      </c>
      <c r="AL6" s="6" t="s">
        <v>838</v>
      </c>
      <c r="AM6" s="6" t="s">
        <v>822</v>
      </c>
      <c r="AN6" s="82">
        <f>IFERROR(VLOOKUP(B6,'DET Salary 2024'!$A$1:$I$35,7,FALSE), "No salary data")</f>
        <v>830000</v>
      </c>
    </row>
    <row r="7" spans="1:40" x14ac:dyDescent="0.25">
      <c r="A7" s="7">
        <v>6</v>
      </c>
      <c r="B7" s="7" t="s">
        <v>434</v>
      </c>
      <c r="C7" s="7">
        <v>23</v>
      </c>
      <c r="D7" s="7" t="s">
        <v>160</v>
      </c>
      <c r="E7" s="7">
        <v>0.1</v>
      </c>
      <c r="F7" s="7">
        <v>6</v>
      </c>
      <c r="G7" s="7">
        <v>6</v>
      </c>
      <c r="H7" s="7">
        <v>0.5</v>
      </c>
      <c r="I7" s="7">
        <v>4.76</v>
      </c>
      <c r="J7" s="7">
        <v>19</v>
      </c>
      <c r="K7" s="7">
        <v>16</v>
      </c>
      <c r="L7" s="7">
        <v>1</v>
      </c>
      <c r="M7" s="7">
        <v>1</v>
      </c>
      <c r="N7" s="7">
        <v>1</v>
      </c>
      <c r="O7" s="7">
        <v>0</v>
      </c>
      <c r="P7" s="7">
        <v>98.1</v>
      </c>
      <c r="Q7" s="7">
        <v>100</v>
      </c>
      <c r="R7" s="7">
        <v>54</v>
      </c>
      <c r="S7" s="7">
        <v>52</v>
      </c>
      <c r="T7" s="7">
        <v>19</v>
      </c>
      <c r="U7" s="7">
        <v>31</v>
      </c>
      <c r="V7" s="7">
        <v>0</v>
      </c>
      <c r="W7" s="7">
        <v>77</v>
      </c>
      <c r="X7" s="7">
        <v>3</v>
      </c>
      <c r="Y7" s="7">
        <v>0</v>
      </c>
      <c r="Z7" s="7">
        <v>2</v>
      </c>
      <c r="AA7" s="7">
        <v>412</v>
      </c>
      <c r="AB7" s="7">
        <v>86</v>
      </c>
      <c r="AC7" s="7">
        <v>5.15</v>
      </c>
      <c r="AD7" s="7">
        <v>1.3320000000000001</v>
      </c>
      <c r="AE7" s="7">
        <v>9.1999999999999993</v>
      </c>
      <c r="AF7" s="7">
        <v>1.7</v>
      </c>
      <c r="AG7" s="7">
        <v>2.8</v>
      </c>
      <c r="AH7" s="7">
        <v>7</v>
      </c>
      <c r="AI7" s="7">
        <v>2.48</v>
      </c>
      <c r="AJ7" s="7" t="s">
        <v>37</v>
      </c>
      <c r="AK7" s="7" t="s">
        <v>435</v>
      </c>
      <c r="AL7" s="7" t="s">
        <v>838</v>
      </c>
      <c r="AM7" s="7" t="s">
        <v>822</v>
      </c>
      <c r="AN7" s="82">
        <f>IFERROR(VLOOKUP(B7,'DET Salary 2024'!$A$1:$I$35,7,FALSE), "No salary data")</f>
        <v>358020</v>
      </c>
    </row>
    <row r="8" spans="1:40" x14ac:dyDescent="0.25">
      <c r="A8" s="6">
        <v>7</v>
      </c>
      <c r="B8" s="6" t="s">
        <v>419</v>
      </c>
      <c r="C8" s="6">
        <v>28</v>
      </c>
      <c r="D8" s="6" t="s">
        <v>169</v>
      </c>
      <c r="E8" s="6">
        <v>0.8</v>
      </c>
      <c r="F8" s="6">
        <v>3</v>
      </c>
      <c r="G8" s="6">
        <v>6</v>
      </c>
      <c r="H8" s="6">
        <v>0.33300000000000002</v>
      </c>
      <c r="I8" s="6">
        <v>3.15</v>
      </c>
      <c r="J8" s="6">
        <v>69</v>
      </c>
      <c r="K8" s="6">
        <v>0</v>
      </c>
      <c r="L8" s="6">
        <v>41</v>
      </c>
      <c r="M8" s="6">
        <v>0</v>
      </c>
      <c r="N8" s="6">
        <v>0</v>
      </c>
      <c r="O8" s="6">
        <v>28</v>
      </c>
      <c r="P8" s="6">
        <v>60</v>
      </c>
      <c r="Q8" s="6">
        <v>51</v>
      </c>
      <c r="R8" s="6">
        <v>28</v>
      </c>
      <c r="S8" s="6">
        <v>21</v>
      </c>
      <c r="T8" s="6">
        <v>5</v>
      </c>
      <c r="U8" s="6">
        <v>20</v>
      </c>
      <c r="V8" s="6">
        <v>2</v>
      </c>
      <c r="W8" s="6">
        <v>46</v>
      </c>
      <c r="X8" s="6">
        <v>2</v>
      </c>
      <c r="Y8" s="6">
        <v>1</v>
      </c>
      <c r="Z8" s="6">
        <v>1</v>
      </c>
      <c r="AA8" s="6">
        <v>250</v>
      </c>
      <c r="AB8" s="6">
        <v>130</v>
      </c>
      <c r="AC8" s="6">
        <v>3.82</v>
      </c>
      <c r="AD8" s="6">
        <v>1.1830000000000001</v>
      </c>
      <c r="AE8" s="6">
        <v>7.7</v>
      </c>
      <c r="AF8" s="6">
        <v>0.8</v>
      </c>
      <c r="AG8" s="6">
        <v>3</v>
      </c>
      <c r="AH8" s="6">
        <v>6.9</v>
      </c>
      <c r="AI8" s="6">
        <v>2.2999999999999998</v>
      </c>
      <c r="AJ8" s="6" t="s">
        <v>37</v>
      </c>
      <c r="AK8" s="6" t="s">
        <v>420</v>
      </c>
      <c r="AL8" s="6" t="s">
        <v>838</v>
      </c>
      <c r="AM8" s="6" t="s">
        <v>822</v>
      </c>
      <c r="AN8" s="82">
        <f>IFERROR(VLOOKUP(B8,'DET Salary 2024'!$A$1:$I$35,7,FALSE), "No salary data")</f>
        <v>766300</v>
      </c>
    </row>
    <row r="9" spans="1:40" x14ac:dyDescent="0.25">
      <c r="A9" s="7">
        <v>8</v>
      </c>
      <c r="B9" s="7" t="s">
        <v>436</v>
      </c>
      <c r="C9" s="7">
        <v>28</v>
      </c>
      <c r="D9" s="7" t="s">
        <v>171</v>
      </c>
      <c r="E9" s="7">
        <v>3.1</v>
      </c>
      <c r="F9" s="7">
        <v>7</v>
      </c>
      <c r="G9" s="7">
        <v>2</v>
      </c>
      <c r="H9" s="7">
        <v>0.77800000000000002</v>
      </c>
      <c r="I9" s="7">
        <v>2.19</v>
      </c>
      <c r="J9" s="7">
        <v>66</v>
      </c>
      <c r="K9" s="7">
        <v>9</v>
      </c>
      <c r="L9" s="7">
        <v>14</v>
      </c>
      <c r="M9" s="7">
        <v>0</v>
      </c>
      <c r="N9" s="7">
        <v>0</v>
      </c>
      <c r="O9" s="7">
        <v>8</v>
      </c>
      <c r="P9" s="7">
        <v>94.1</v>
      </c>
      <c r="Q9" s="7">
        <v>57</v>
      </c>
      <c r="R9" s="7">
        <v>25</v>
      </c>
      <c r="S9" s="7">
        <v>23</v>
      </c>
      <c r="T9" s="7">
        <v>7</v>
      </c>
      <c r="U9" s="7">
        <v>17</v>
      </c>
      <c r="V9" s="7">
        <v>1</v>
      </c>
      <c r="W9" s="7">
        <v>77</v>
      </c>
      <c r="X9" s="7">
        <v>4</v>
      </c>
      <c r="Y9" s="7">
        <v>0</v>
      </c>
      <c r="Z9" s="7">
        <v>0</v>
      </c>
      <c r="AA9" s="7">
        <v>354</v>
      </c>
      <c r="AB9" s="7">
        <v>186</v>
      </c>
      <c r="AC9" s="7">
        <v>3.17</v>
      </c>
      <c r="AD9" s="7">
        <v>0.78400000000000003</v>
      </c>
      <c r="AE9" s="7">
        <v>5.4</v>
      </c>
      <c r="AF9" s="7">
        <v>0.7</v>
      </c>
      <c r="AG9" s="7">
        <v>1.6</v>
      </c>
      <c r="AH9" s="7">
        <v>7.3</v>
      </c>
      <c r="AI9" s="7">
        <v>4.53</v>
      </c>
      <c r="AJ9" s="7" t="s">
        <v>437</v>
      </c>
      <c r="AK9" s="7" t="s">
        <v>438</v>
      </c>
      <c r="AL9" s="7" t="s">
        <v>838</v>
      </c>
      <c r="AM9" s="7" t="s">
        <v>822</v>
      </c>
      <c r="AN9" s="82">
        <f>IFERROR(VLOOKUP(B9,'DET Salary 2024'!$A$1:$I$35,7,FALSE), "No salary data")</f>
        <v>1080995</v>
      </c>
    </row>
    <row r="10" spans="1:40" x14ac:dyDescent="0.25">
      <c r="A10" s="6">
        <v>9</v>
      </c>
      <c r="B10" s="6" t="s">
        <v>439</v>
      </c>
      <c r="C10" s="6">
        <v>29</v>
      </c>
      <c r="D10" s="6" t="s">
        <v>171</v>
      </c>
      <c r="E10" s="6">
        <v>1.5</v>
      </c>
      <c r="F10" s="6">
        <v>3</v>
      </c>
      <c r="G10" s="6">
        <v>4</v>
      </c>
      <c r="H10" s="6">
        <v>0.42899999999999999</v>
      </c>
      <c r="I10" s="6">
        <v>2.82</v>
      </c>
      <c r="J10" s="6">
        <v>69</v>
      </c>
      <c r="K10" s="6">
        <v>0</v>
      </c>
      <c r="L10" s="6">
        <v>14</v>
      </c>
      <c r="M10" s="6">
        <v>0</v>
      </c>
      <c r="N10" s="6">
        <v>0</v>
      </c>
      <c r="O10" s="6">
        <v>2</v>
      </c>
      <c r="P10" s="6">
        <v>70.099999999999994</v>
      </c>
      <c r="Q10" s="6">
        <v>61</v>
      </c>
      <c r="R10" s="6">
        <v>23</v>
      </c>
      <c r="S10" s="6">
        <v>22</v>
      </c>
      <c r="T10" s="6">
        <v>3</v>
      </c>
      <c r="U10" s="6">
        <v>18</v>
      </c>
      <c r="V10" s="6">
        <v>2</v>
      </c>
      <c r="W10" s="6">
        <v>63</v>
      </c>
      <c r="X10" s="6">
        <v>3</v>
      </c>
      <c r="Y10" s="6">
        <v>0</v>
      </c>
      <c r="Z10" s="6">
        <v>4</v>
      </c>
      <c r="AA10" s="6">
        <v>289</v>
      </c>
      <c r="AB10" s="6">
        <v>145</v>
      </c>
      <c r="AC10" s="6">
        <v>2.82</v>
      </c>
      <c r="AD10" s="6">
        <v>1.123</v>
      </c>
      <c r="AE10" s="6">
        <v>7.8</v>
      </c>
      <c r="AF10" s="6">
        <v>0.4</v>
      </c>
      <c r="AG10" s="6">
        <v>2.2999999999999998</v>
      </c>
      <c r="AH10" s="6">
        <v>8.1</v>
      </c>
      <c r="AI10" s="6">
        <v>3.5</v>
      </c>
      <c r="AJ10" s="6" t="s">
        <v>37</v>
      </c>
      <c r="AK10" s="6" t="s">
        <v>440</v>
      </c>
      <c r="AL10" s="6" t="s">
        <v>838</v>
      </c>
      <c r="AM10" s="6" t="s">
        <v>822</v>
      </c>
      <c r="AN10" s="82">
        <f>IFERROR(VLOOKUP(B10,'DET Salary 2024'!$A$1:$I$35,7,FALSE), "No salary data")</f>
        <v>760700</v>
      </c>
    </row>
    <row r="11" spans="1:40" x14ac:dyDescent="0.25">
      <c r="A11" s="7">
        <v>10</v>
      </c>
      <c r="B11" s="7" t="s">
        <v>441</v>
      </c>
      <c r="C11" s="7">
        <v>26</v>
      </c>
      <c r="D11" s="7" t="s">
        <v>171</v>
      </c>
      <c r="E11" s="7">
        <v>0.7</v>
      </c>
      <c r="F11" s="7">
        <v>4</v>
      </c>
      <c r="G11" s="7">
        <v>5</v>
      </c>
      <c r="H11" s="7">
        <v>0.44400000000000001</v>
      </c>
      <c r="I11" s="7">
        <v>3.59</v>
      </c>
      <c r="J11" s="7">
        <v>46</v>
      </c>
      <c r="K11" s="7">
        <v>12</v>
      </c>
      <c r="L11" s="7">
        <v>12</v>
      </c>
      <c r="M11" s="7">
        <v>0</v>
      </c>
      <c r="N11" s="7">
        <v>0</v>
      </c>
      <c r="O11" s="7">
        <v>1</v>
      </c>
      <c r="P11" s="7">
        <v>67.2</v>
      </c>
      <c r="Q11" s="7">
        <v>55</v>
      </c>
      <c r="R11" s="7">
        <v>31</v>
      </c>
      <c r="S11" s="7">
        <v>27</v>
      </c>
      <c r="T11" s="7">
        <v>5</v>
      </c>
      <c r="U11" s="7">
        <v>30</v>
      </c>
      <c r="V11" s="7">
        <v>2</v>
      </c>
      <c r="W11" s="7">
        <v>69</v>
      </c>
      <c r="X11" s="7">
        <v>2</v>
      </c>
      <c r="Y11" s="7">
        <v>0</v>
      </c>
      <c r="Z11" s="7">
        <v>0</v>
      </c>
      <c r="AA11" s="7">
        <v>282</v>
      </c>
      <c r="AB11" s="7">
        <v>114</v>
      </c>
      <c r="AC11" s="7">
        <v>3.51</v>
      </c>
      <c r="AD11" s="7">
        <v>1.256</v>
      </c>
      <c r="AE11" s="7">
        <v>7.3</v>
      </c>
      <c r="AF11" s="7">
        <v>0.7</v>
      </c>
      <c r="AG11" s="7">
        <v>4</v>
      </c>
      <c r="AH11" s="7">
        <v>9.1999999999999993</v>
      </c>
      <c r="AI11" s="7">
        <v>2.2999999999999998</v>
      </c>
      <c r="AJ11" s="7" t="s">
        <v>37</v>
      </c>
      <c r="AK11" s="7" t="s">
        <v>442</v>
      </c>
      <c r="AL11" s="7" t="s">
        <v>838</v>
      </c>
      <c r="AM11" s="7" t="s">
        <v>822</v>
      </c>
      <c r="AN11" s="82">
        <f>IFERROR(VLOOKUP(B11,'DET Salary 2024'!$A$1:$I$35,7,FALSE), "No salary data")</f>
        <v>552942</v>
      </c>
    </row>
    <row r="12" spans="1:40" x14ac:dyDescent="0.25">
      <c r="A12" s="6">
        <v>11</v>
      </c>
      <c r="B12" s="6" t="s">
        <v>443</v>
      </c>
      <c r="C12" s="6">
        <v>33</v>
      </c>
      <c r="D12" s="6" t="s">
        <v>171</v>
      </c>
      <c r="E12" s="6">
        <v>0</v>
      </c>
      <c r="F12" s="6">
        <v>6</v>
      </c>
      <c r="G12" s="6">
        <v>8</v>
      </c>
      <c r="H12" s="6">
        <v>0.42899999999999999</v>
      </c>
      <c r="I12" s="6">
        <v>4.53</v>
      </c>
      <c r="J12" s="6">
        <v>51</v>
      </c>
      <c r="K12" s="6">
        <v>0</v>
      </c>
      <c r="L12" s="6">
        <v>18</v>
      </c>
      <c r="M12" s="6">
        <v>0</v>
      </c>
      <c r="N12" s="6">
        <v>0</v>
      </c>
      <c r="O12" s="6">
        <v>2</v>
      </c>
      <c r="P12" s="6">
        <v>55.2</v>
      </c>
      <c r="Q12" s="6">
        <v>41</v>
      </c>
      <c r="R12" s="6">
        <v>31</v>
      </c>
      <c r="S12" s="6">
        <v>28</v>
      </c>
      <c r="T12" s="6">
        <v>9</v>
      </c>
      <c r="U12" s="6">
        <v>13</v>
      </c>
      <c r="V12" s="6">
        <v>0</v>
      </c>
      <c r="W12" s="6">
        <v>49</v>
      </c>
      <c r="X12" s="6">
        <v>5</v>
      </c>
      <c r="Y12" s="6">
        <v>0</v>
      </c>
      <c r="Z12" s="6">
        <v>1</v>
      </c>
      <c r="AA12" s="6">
        <v>225</v>
      </c>
      <c r="AB12" s="6">
        <v>90</v>
      </c>
      <c r="AC12" s="6">
        <v>4.4800000000000004</v>
      </c>
      <c r="AD12" s="6">
        <v>0.97</v>
      </c>
      <c r="AE12" s="6">
        <v>6.6</v>
      </c>
      <c r="AF12" s="6">
        <v>1.5</v>
      </c>
      <c r="AG12" s="6">
        <v>2.1</v>
      </c>
      <c r="AH12" s="6">
        <v>7.9</v>
      </c>
      <c r="AI12" s="6">
        <v>3.77</v>
      </c>
      <c r="AJ12" s="6" t="s">
        <v>37</v>
      </c>
      <c r="AK12" s="6" t="s">
        <v>444</v>
      </c>
      <c r="AL12" s="6" t="s">
        <v>838</v>
      </c>
      <c r="AM12" s="6" t="s">
        <v>822</v>
      </c>
      <c r="AN12" s="82" t="str">
        <f>IFERROR(VLOOKUP(B12,'DET Salary 2024'!$A$1:$I$35,7,FALSE), "No salary data")</f>
        <v>No salary data</v>
      </c>
    </row>
    <row r="13" spans="1:40" x14ac:dyDescent="0.25">
      <c r="A13" s="7">
        <v>12</v>
      </c>
      <c r="B13" s="7" t="s">
        <v>445</v>
      </c>
      <c r="C13" s="7">
        <v>28</v>
      </c>
      <c r="D13" s="7" t="s">
        <v>37</v>
      </c>
      <c r="E13" s="7">
        <v>0.6</v>
      </c>
      <c r="F13" s="7">
        <v>5</v>
      </c>
      <c r="G13" s="7">
        <v>3</v>
      </c>
      <c r="H13" s="7">
        <v>0.625</v>
      </c>
      <c r="I13" s="7">
        <v>3.61</v>
      </c>
      <c r="J13" s="7">
        <v>37</v>
      </c>
      <c r="K13" s="7">
        <v>6</v>
      </c>
      <c r="L13" s="7">
        <v>7</v>
      </c>
      <c r="M13" s="7">
        <v>0</v>
      </c>
      <c r="N13" s="7">
        <v>0</v>
      </c>
      <c r="O13" s="7">
        <v>0</v>
      </c>
      <c r="P13" s="7">
        <v>57.1</v>
      </c>
      <c r="Q13" s="7">
        <v>49</v>
      </c>
      <c r="R13" s="7">
        <v>24</v>
      </c>
      <c r="S13" s="7">
        <v>23</v>
      </c>
      <c r="T13" s="7">
        <v>9</v>
      </c>
      <c r="U13" s="7">
        <v>28</v>
      </c>
      <c r="V13" s="7">
        <v>0</v>
      </c>
      <c r="W13" s="7">
        <v>55</v>
      </c>
      <c r="X13" s="7">
        <v>3</v>
      </c>
      <c r="Y13" s="7">
        <v>0</v>
      </c>
      <c r="Z13" s="7">
        <v>4</v>
      </c>
      <c r="AA13" s="7">
        <v>246</v>
      </c>
      <c r="AB13" s="7">
        <v>113</v>
      </c>
      <c r="AC13" s="7">
        <v>4.91</v>
      </c>
      <c r="AD13" s="7">
        <v>1.343</v>
      </c>
      <c r="AE13" s="7">
        <v>7.7</v>
      </c>
      <c r="AF13" s="7">
        <v>1.4</v>
      </c>
      <c r="AG13" s="7">
        <v>4.4000000000000004</v>
      </c>
      <c r="AH13" s="7">
        <v>8.6</v>
      </c>
      <c r="AI13" s="7">
        <v>1.96</v>
      </c>
      <c r="AJ13" s="7" t="s">
        <v>37</v>
      </c>
      <c r="AK13" s="7" t="s">
        <v>446</v>
      </c>
      <c r="AL13" s="7" t="s">
        <v>838</v>
      </c>
      <c r="AM13" s="7" t="s">
        <v>822</v>
      </c>
      <c r="AN13" s="82">
        <f>IFERROR(VLOOKUP(B13,'DET Salary 2024'!$A$1:$I$35,7,FALSE), "No salary data")</f>
        <v>746600</v>
      </c>
    </row>
    <row r="14" spans="1:40" x14ac:dyDescent="0.25">
      <c r="A14" s="6">
        <v>13</v>
      </c>
      <c r="B14" s="6" t="s">
        <v>447</v>
      </c>
      <c r="C14" s="6">
        <v>26</v>
      </c>
      <c r="D14" s="6" t="s">
        <v>37</v>
      </c>
      <c r="E14" s="6">
        <v>-0.4</v>
      </c>
      <c r="F14" s="6">
        <v>0</v>
      </c>
      <c r="G14" s="6">
        <v>2</v>
      </c>
      <c r="H14" s="6">
        <v>0</v>
      </c>
      <c r="I14" s="6">
        <v>5.37</v>
      </c>
      <c r="J14" s="6">
        <v>38</v>
      </c>
      <c r="K14" s="6">
        <v>0</v>
      </c>
      <c r="L14" s="6">
        <v>16</v>
      </c>
      <c r="M14" s="6">
        <v>0</v>
      </c>
      <c r="N14" s="6">
        <v>0</v>
      </c>
      <c r="O14" s="6">
        <v>1</v>
      </c>
      <c r="P14" s="6">
        <v>55.1</v>
      </c>
      <c r="Q14" s="6">
        <v>60</v>
      </c>
      <c r="R14" s="6">
        <v>35</v>
      </c>
      <c r="S14" s="6">
        <v>33</v>
      </c>
      <c r="T14" s="6">
        <v>8</v>
      </c>
      <c r="U14" s="6">
        <v>27</v>
      </c>
      <c r="V14" s="6">
        <v>1</v>
      </c>
      <c r="W14" s="6">
        <v>60</v>
      </c>
      <c r="X14" s="6">
        <v>3</v>
      </c>
      <c r="Y14" s="6">
        <v>2</v>
      </c>
      <c r="Z14" s="6">
        <v>3</v>
      </c>
      <c r="AA14" s="6">
        <v>254</v>
      </c>
      <c r="AB14" s="6">
        <v>76</v>
      </c>
      <c r="AC14" s="6">
        <v>4.5</v>
      </c>
      <c r="AD14" s="6">
        <v>1.5720000000000001</v>
      </c>
      <c r="AE14" s="6">
        <v>9.8000000000000007</v>
      </c>
      <c r="AF14" s="6">
        <v>1.3</v>
      </c>
      <c r="AG14" s="6">
        <v>4.4000000000000004</v>
      </c>
      <c r="AH14" s="6">
        <v>9.8000000000000007</v>
      </c>
      <c r="AI14" s="6">
        <v>2.2200000000000002</v>
      </c>
      <c r="AJ14" s="6" t="s">
        <v>37</v>
      </c>
      <c r="AK14" s="6" t="s">
        <v>448</v>
      </c>
      <c r="AL14" s="6" t="s">
        <v>838</v>
      </c>
      <c r="AM14" s="6" t="s">
        <v>822</v>
      </c>
      <c r="AN14" s="82" t="str">
        <f>IFERROR(VLOOKUP(B14,'DET Salary 2024'!$A$1:$I$35,7,FALSE), "No salary data")</f>
        <v>No salary data</v>
      </c>
    </row>
    <row r="15" spans="1:40" x14ac:dyDescent="0.25">
      <c r="A15" s="7">
        <v>14</v>
      </c>
      <c r="B15" s="7" t="s">
        <v>449</v>
      </c>
      <c r="C15" s="7">
        <v>25</v>
      </c>
      <c r="D15" s="7" t="s">
        <v>37</v>
      </c>
      <c r="E15" s="7">
        <v>1.2</v>
      </c>
      <c r="F15" s="7">
        <v>6</v>
      </c>
      <c r="G15" s="7">
        <v>1</v>
      </c>
      <c r="H15" s="7">
        <v>0.85699999999999998</v>
      </c>
      <c r="I15" s="7">
        <v>2.58</v>
      </c>
      <c r="J15" s="7">
        <v>10</v>
      </c>
      <c r="K15" s="7">
        <v>1</v>
      </c>
      <c r="L15" s="7">
        <v>1</v>
      </c>
      <c r="M15" s="7">
        <v>0</v>
      </c>
      <c r="N15" s="7">
        <v>0</v>
      </c>
      <c r="O15" s="7">
        <v>0</v>
      </c>
      <c r="P15" s="7">
        <v>45.1</v>
      </c>
      <c r="Q15" s="7">
        <v>34</v>
      </c>
      <c r="R15" s="7">
        <v>13</v>
      </c>
      <c r="S15" s="7">
        <v>13</v>
      </c>
      <c r="T15" s="7">
        <v>4</v>
      </c>
      <c r="U15" s="7">
        <v>6</v>
      </c>
      <c r="V15" s="7">
        <v>0</v>
      </c>
      <c r="W15" s="7">
        <v>38</v>
      </c>
      <c r="X15" s="7">
        <v>0</v>
      </c>
      <c r="Y15" s="7">
        <v>1</v>
      </c>
      <c r="Z15" s="7">
        <v>0</v>
      </c>
      <c r="AA15" s="7">
        <v>175</v>
      </c>
      <c r="AB15" s="7">
        <v>159</v>
      </c>
      <c r="AC15" s="7">
        <v>3.03</v>
      </c>
      <c r="AD15" s="7">
        <v>0.88200000000000001</v>
      </c>
      <c r="AE15" s="7">
        <v>6.8</v>
      </c>
      <c r="AF15" s="7">
        <v>0.8</v>
      </c>
      <c r="AG15" s="7">
        <v>1.2</v>
      </c>
      <c r="AH15" s="7">
        <v>7.5</v>
      </c>
      <c r="AI15" s="7">
        <v>6.33</v>
      </c>
      <c r="AJ15" s="7" t="s">
        <v>37</v>
      </c>
      <c r="AK15" s="7" t="s">
        <v>450</v>
      </c>
      <c r="AL15" s="7" t="s">
        <v>838</v>
      </c>
      <c r="AM15" s="7" t="s">
        <v>822</v>
      </c>
      <c r="AN15" s="82">
        <f>IFERROR(VLOOKUP(B15,'DET Salary 2024'!$A$1:$I$35,7,FALSE), "No salary data")</f>
        <v>222768</v>
      </c>
    </row>
    <row r="16" spans="1:40" x14ac:dyDescent="0.25">
      <c r="A16" s="6">
        <v>15</v>
      </c>
      <c r="B16" s="6" t="s">
        <v>451</v>
      </c>
      <c r="C16" s="6">
        <v>34</v>
      </c>
      <c r="D16" s="6" t="s">
        <v>37</v>
      </c>
      <c r="E16" s="6">
        <v>0.5</v>
      </c>
      <c r="F16" s="6">
        <v>3</v>
      </c>
      <c r="G16" s="6">
        <v>2</v>
      </c>
      <c r="H16" s="6">
        <v>0.6</v>
      </c>
      <c r="I16" s="6">
        <v>3.16</v>
      </c>
      <c r="J16" s="6">
        <v>41</v>
      </c>
      <c r="K16" s="6">
        <v>0</v>
      </c>
      <c r="L16" s="6">
        <v>11</v>
      </c>
      <c r="M16" s="6">
        <v>0</v>
      </c>
      <c r="N16" s="6">
        <v>0</v>
      </c>
      <c r="O16" s="6">
        <v>1</v>
      </c>
      <c r="P16" s="6">
        <v>37</v>
      </c>
      <c r="Q16" s="6">
        <v>35</v>
      </c>
      <c r="R16" s="6">
        <v>16</v>
      </c>
      <c r="S16" s="6">
        <v>13</v>
      </c>
      <c r="T16" s="6">
        <v>2</v>
      </c>
      <c r="U16" s="6">
        <v>16</v>
      </c>
      <c r="V16" s="6">
        <v>2</v>
      </c>
      <c r="W16" s="6">
        <v>50</v>
      </c>
      <c r="X16" s="6">
        <v>1</v>
      </c>
      <c r="Y16" s="6">
        <v>0</v>
      </c>
      <c r="Z16" s="6">
        <v>3</v>
      </c>
      <c r="AA16" s="6">
        <v>162</v>
      </c>
      <c r="AB16" s="6">
        <v>130</v>
      </c>
      <c r="AC16" s="6">
        <v>2.54</v>
      </c>
      <c r="AD16" s="6">
        <v>1.3779999999999999</v>
      </c>
      <c r="AE16" s="6">
        <v>8.5</v>
      </c>
      <c r="AF16" s="6">
        <v>0.5</v>
      </c>
      <c r="AG16" s="6">
        <v>3.9</v>
      </c>
      <c r="AH16" s="6">
        <v>12.2</v>
      </c>
      <c r="AI16" s="6">
        <v>3.13</v>
      </c>
      <c r="AJ16" s="6" t="s">
        <v>37</v>
      </c>
      <c r="AK16" s="6" t="s">
        <v>452</v>
      </c>
      <c r="AL16" s="6" t="s">
        <v>838</v>
      </c>
      <c r="AM16" s="6" t="s">
        <v>822</v>
      </c>
      <c r="AN16" s="82" t="str">
        <f>IFERROR(VLOOKUP(B16,'DET Salary 2024'!$A$1:$I$35,7,FALSE), "No salary data")</f>
        <v>No salary data</v>
      </c>
    </row>
    <row r="17" spans="1:40" x14ac:dyDescent="0.25">
      <c r="A17" s="7">
        <v>16</v>
      </c>
      <c r="B17" s="7" t="s">
        <v>453</v>
      </c>
      <c r="C17" s="7">
        <v>26</v>
      </c>
      <c r="D17" s="7" t="s">
        <v>37</v>
      </c>
      <c r="E17" s="7">
        <v>0.9</v>
      </c>
      <c r="F17" s="7">
        <v>1</v>
      </c>
      <c r="G17" s="7">
        <v>1</v>
      </c>
      <c r="H17" s="7">
        <v>0.5</v>
      </c>
      <c r="I17" s="7">
        <v>1.84</v>
      </c>
      <c r="J17" s="7">
        <v>21</v>
      </c>
      <c r="K17" s="7">
        <v>3</v>
      </c>
      <c r="L17" s="7">
        <v>1</v>
      </c>
      <c r="M17" s="7">
        <v>0</v>
      </c>
      <c r="N17" s="7">
        <v>0</v>
      </c>
      <c r="O17" s="7">
        <v>0</v>
      </c>
      <c r="P17" s="7">
        <v>29.1</v>
      </c>
      <c r="Q17" s="7">
        <v>27</v>
      </c>
      <c r="R17" s="7">
        <v>7</v>
      </c>
      <c r="S17" s="7">
        <v>6</v>
      </c>
      <c r="T17" s="7">
        <v>2</v>
      </c>
      <c r="U17" s="7">
        <v>6</v>
      </c>
      <c r="V17" s="7">
        <v>0</v>
      </c>
      <c r="W17" s="7">
        <v>23</v>
      </c>
      <c r="X17" s="7">
        <v>0</v>
      </c>
      <c r="Y17" s="7">
        <v>0</v>
      </c>
      <c r="Z17" s="7">
        <v>0</v>
      </c>
      <c r="AA17" s="7">
        <v>120</v>
      </c>
      <c r="AB17" s="7">
        <v>223</v>
      </c>
      <c r="AC17" s="7">
        <v>3.1</v>
      </c>
      <c r="AD17" s="7">
        <v>1.125</v>
      </c>
      <c r="AE17" s="7">
        <v>8.3000000000000007</v>
      </c>
      <c r="AF17" s="7">
        <v>0.6</v>
      </c>
      <c r="AG17" s="7">
        <v>1.8</v>
      </c>
      <c r="AH17" s="7">
        <v>7.1</v>
      </c>
      <c r="AI17" s="7">
        <v>3.83</v>
      </c>
      <c r="AJ17" s="7" t="s">
        <v>37</v>
      </c>
      <c r="AK17" s="7" t="s">
        <v>454</v>
      </c>
      <c r="AL17" s="7" t="s">
        <v>838</v>
      </c>
      <c r="AM17" s="7" t="s">
        <v>822</v>
      </c>
      <c r="AN17" s="82">
        <f>IFERROR(VLOOKUP(B17,'DET Salary 2024'!$A$1:$I$35,7,FALSE), "No salary data")</f>
        <v>234702</v>
      </c>
    </row>
    <row r="18" spans="1:40" x14ac:dyDescent="0.25">
      <c r="A18" s="6">
        <v>17</v>
      </c>
      <c r="B18" s="6" t="s">
        <v>455</v>
      </c>
      <c r="C18" s="6">
        <v>26</v>
      </c>
      <c r="D18" s="6" t="s">
        <v>37</v>
      </c>
      <c r="E18" s="6">
        <v>0.1</v>
      </c>
      <c r="F18" s="6">
        <v>0</v>
      </c>
      <c r="G18" s="6">
        <v>1</v>
      </c>
      <c r="H18" s="6">
        <v>0</v>
      </c>
      <c r="I18" s="6">
        <v>4.88</v>
      </c>
      <c r="J18" s="6">
        <v>5</v>
      </c>
      <c r="K18" s="6">
        <v>5</v>
      </c>
      <c r="L18" s="6">
        <v>0</v>
      </c>
      <c r="M18" s="6">
        <v>0</v>
      </c>
      <c r="N18" s="6">
        <v>0</v>
      </c>
      <c r="O18" s="6">
        <v>0</v>
      </c>
      <c r="P18" s="6">
        <v>27.2</v>
      </c>
      <c r="Q18" s="6">
        <v>31</v>
      </c>
      <c r="R18" s="6">
        <v>15</v>
      </c>
      <c r="S18" s="6">
        <v>15</v>
      </c>
      <c r="T18" s="6">
        <v>3</v>
      </c>
      <c r="U18" s="6">
        <v>12</v>
      </c>
      <c r="V18" s="6">
        <v>0</v>
      </c>
      <c r="W18" s="6">
        <v>23</v>
      </c>
      <c r="X18" s="6">
        <v>0</v>
      </c>
      <c r="Y18" s="6">
        <v>0</v>
      </c>
      <c r="Z18" s="6">
        <v>1</v>
      </c>
      <c r="AA18" s="6">
        <v>123</v>
      </c>
      <c r="AB18" s="6">
        <v>84</v>
      </c>
      <c r="AC18" s="6">
        <v>4.21</v>
      </c>
      <c r="AD18" s="6">
        <v>1.554</v>
      </c>
      <c r="AE18" s="6">
        <v>10.1</v>
      </c>
      <c r="AF18" s="6">
        <v>1</v>
      </c>
      <c r="AG18" s="6">
        <v>3.9</v>
      </c>
      <c r="AH18" s="6">
        <v>7.5</v>
      </c>
      <c r="AI18" s="6">
        <v>1.92</v>
      </c>
      <c r="AJ18" s="6" t="s">
        <v>37</v>
      </c>
      <c r="AK18" s="6" t="s">
        <v>456</v>
      </c>
      <c r="AL18" s="6" t="s">
        <v>838</v>
      </c>
      <c r="AM18" s="6" t="s">
        <v>822</v>
      </c>
      <c r="AN18" s="82" t="str">
        <f>IFERROR(VLOOKUP(B18,'DET Salary 2024'!$A$1:$I$35,7,FALSE), "No salary data")</f>
        <v>No salary data</v>
      </c>
    </row>
    <row r="19" spans="1:40" x14ac:dyDescent="0.25">
      <c r="A19" s="7">
        <v>18</v>
      </c>
      <c r="B19" s="7" t="s">
        <v>457</v>
      </c>
      <c r="C19" s="7">
        <v>29</v>
      </c>
      <c r="D19" s="7" t="s">
        <v>37</v>
      </c>
      <c r="E19" s="7">
        <v>0.4</v>
      </c>
      <c r="F19" s="7">
        <v>1</v>
      </c>
      <c r="G19" s="7">
        <v>1</v>
      </c>
      <c r="H19" s="7">
        <v>0.5</v>
      </c>
      <c r="I19" s="7">
        <v>3.62</v>
      </c>
      <c r="J19" s="7">
        <v>6</v>
      </c>
      <c r="K19" s="7">
        <v>0</v>
      </c>
      <c r="L19" s="7">
        <v>0</v>
      </c>
      <c r="M19" s="7">
        <v>0</v>
      </c>
      <c r="N19" s="7">
        <v>0</v>
      </c>
      <c r="O19" s="7">
        <v>0</v>
      </c>
      <c r="P19" s="7">
        <v>27.1</v>
      </c>
      <c r="Q19" s="7">
        <v>16</v>
      </c>
      <c r="R19" s="7">
        <v>11</v>
      </c>
      <c r="S19" s="7">
        <v>11</v>
      </c>
      <c r="T19" s="7">
        <v>6</v>
      </c>
      <c r="U19" s="7">
        <v>9</v>
      </c>
      <c r="V19" s="7">
        <v>0</v>
      </c>
      <c r="W19" s="7">
        <v>18</v>
      </c>
      <c r="X19" s="7">
        <v>1</v>
      </c>
      <c r="Y19" s="7">
        <v>0</v>
      </c>
      <c r="Z19" s="7">
        <v>0</v>
      </c>
      <c r="AA19" s="7">
        <v>104</v>
      </c>
      <c r="AB19" s="7">
        <v>114</v>
      </c>
      <c r="AC19" s="7">
        <v>5.8</v>
      </c>
      <c r="AD19" s="7">
        <v>0.91500000000000004</v>
      </c>
      <c r="AE19" s="7">
        <v>5.3</v>
      </c>
      <c r="AF19" s="7">
        <v>2</v>
      </c>
      <c r="AG19" s="7">
        <v>3</v>
      </c>
      <c r="AH19" s="7">
        <v>5.9</v>
      </c>
      <c r="AI19" s="7">
        <v>2</v>
      </c>
      <c r="AJ19" s="7" t="s">
        <v>37</v>
      </c>
      <c r="AK19" s="7" t="s">
        <v>458</v>
      </c>
      <c r="AL19" s="7" t="s">
        <v>838</v>
      </c>
      <c r="AM19" s="7" t="s">
        <v>822</v>
      </c>
      <c r="AN19" s="82" t="str">
        <f>IFERROR(VLOOKUP(B19,'DET Salary 2024'!$A$1:$I$35,7,FALSE), "No salary data")</f>
        <v>No salary data</v>
      </c>
    </row>
    <row r="20" spans="1:40" x14ac:dyDescent="0.25">
      <c r="A20" s="6">
        <v>19</v>
      </c>
      <c r="B20" s="6" t="s">
        <v>459</v>
      </c>
      <c r="C20" s="6">
        <v>24</v>
      </c>
      <c r="D20" s="6" t="s">
        <v>37</v>
      </c>
      <c r="E20" s="6">
        <v>-0.1</v>
      </c>
      <c r="F20" s="6">
        <v>1</v>
      </c>
      <c r="G20" s="6">
        <v>1</v>
      </c>
      <c r="H20" s="6">
        <v>0.5</v>
      </c>
      <c r="I20" s="6">
        <v>4.3</v>
      </c>
      <c r="J20" s="6">
        <v>6</v>
      </c>
      <c r="K20" s="6">
        <v>1</v>
      </c>
      <c r="L20" s="6">
        <v>0</v>
      </c>
      <c r="M20" s="6">
        <v>0</v>
      </c>
      <c r="N20" s="6">
        <v>0</v>
      </c>
      <c r="O20" s="6">
        <v>0</v>
      </c>
      <c r="P20" s="6">
        <v>23</v>
      </c>
      <c r="Q20" s="6">
        <v>25</v>
      </c>
      <c r="R20" s="6">
        <v>12</v>
      </c>
      <c r="S20" s="6">
        <v>11</v>
      </c>
      <c r="T20" s="6">
        <v>2</v>
      </c>
      <c r="U20" s="6">
        <v>8</v>
      </c>
      <c r="V20" s="6">
        <v>0</v>
      </c>
      <c r="W20" s="6">
        <v>17</v>
      </c>
      <c r="X20" s="6">
        <v>1</v>
      </c>
      <c r="Y20" s="6">
        <v>0</v>
      </c>
      <c r="Z20" s="6">
        <v>0</v>
      </c>
      <c r="AA20" s="6">
        <v>101</v>
      </c>
      <c r="AB20" s="6">
        <v>96</v>
      </c>
      <c r="AC20" s="6">
        <v>3.99</v>
      </c>
      <c r="AD20" s="6">
        <v>1.4350000000000001</v>
      </c>
      <c r="AE20" s="6">
        <v>9.8000000000000007</v>
      </c>
      <c r="AF20" s="6">
        <v>0.8</v>
      </c>
      <c r="AG20" s="6">
        <v>3.1</v>
      </c>
      <c r="AH20" s="6">
        <v>6.7</v>
      </c>
      <c r="AI20" s="6">
        <v>2.13</v>
      </c>
      <c r="AJ20" s="6" t="s">
        <v>37</v>
      </c>
      <c r="AK20" s="6" t="s">
        <v>460</v>
      </c>
      <c r="AL20" s="6" t="s">
        <v>838</v>
      </c>
      <c r="AM20" s="6" t="s">
        <v>822</v>
      </c>
      <c r="AN20" s="82">
        <f>IFERROR(VLOOKUP(B20,'DET Salary 2024'!$A$1:$I$35,7,FALSE), "No salary data")</f>
        <v>135252</v>
      </c>
    </row>
    <row r="21" spans="1:40" x14ac:dyDescent="0.25">
      <c r="A21" s="7">
        <v>20</v>
      </c>
      <c r="B21" s="7" t="s">
        <v>461</v>
      </c>
      <c r="C21" s="7">
        <v>24</v>
      </c>
      <c r="D21" s="7" t="s">
        <v>37</v>
      </c>
      <c r="E21" s="7">
        <v>-0.3</v>
      </c>
      <c r="F21" s="7">
        <v>1</v>
      </c>
      <c r="G21" s="7">
        <v>0</v>
      </c>
      <c r="H21" s="7">
        <v>1</v>
      </c>
      <c r="I21" s="7">
        <v>5.4</v>
      </c>
      <c r="J21" s="7">
        <v>12</v>
      </c>
      <c r="K21" s="7">
        <v>1</v>
      </c>
      <c r="L21" s="7">
        <v>5</v>
      </c>
      <c r="M21" s="7">
        <v>0</v>
      </c>
      <c r="N21" s="7">
        <v>0</v>
      </c>
      <c r="O21" s="7">
        <v>0</v>
      </c>
      <c r="P21" s="7">
        <v>21.2</v>
      </c>
      <c r="Q21" s="7">
        <v>23</v>
      </c>
      <c r="R21" s="7">
        <v>15</v>
      </c>
      <c r="S21" s="7">
        <v>13</v>
      </c>
      <c r="T21" s="7">
        <v>4</v>
      </c>
      <c r="U21" s="7">
        <v>5</v>
      </c>
      <c r="V21" s="7">
        <v>1</v>
      </c>
      <c r="W21" s="7">
        <v>16</v>
      </c>
      <c r="X21" s="7">
        <v>1</v>
      </c>
      <c r="Y21" s="7">
        <v>0</v>
      </c>
      <c r="Z21" s="7">
        <v>2</v>
      </c>
      <c r="AA21" s="7">
        <v>93</v>
      </c>
      <c r="AB21" s="7">
        <v>76</v>
      </c>
      <c r="AC21" s="7">
        <v>4.92</v>
      </c>
      <c r="AD21" s="7">
        <v>1.292</v>
      </c>
      <c r="AE21" s="7">
        <v>9.6</v>
      </c>
      <c r="AF21" s="7">
        <v>1.7</v>
      </c>
      <c r="AG21" s="7">
        <v>2.1</v>
      </c>
      <c r="AH21" s="7">
        <v>6.6</v>
      </c>
      <c r="AI21" s="7">
        <v>3.2</v>
      </c>
      <c r="AJ21" s="7" t="s">
        <v>37</v>
      </c>
      <c r="AK21" s="7" t="s">
        <v>422</v>
      </c>
      <c r="AL21" s="7" t="s">
        <v>838</v>
      </c>
      <c r="AM21" s="7" t="s">
        <v>822</v>
      </c>
      <c r="AN21" s="82">
        <f>IFERROR(VLOOKUP(B21,'DET Salary 2024'!$A$1:$I$35,7,FALSE), "No salary data")</f>
        <v>139230</v>
      </c>
    </row>
    <row r="22" spans="1:40" x14ac:dyDescent="0.25">
      <c r="A22" s="6">
        <v>21</v>
      </c>
      <c r="B22" s="6" t="s">
        <v>462</v>
      </c>
      <c r="C22" s="6">
        <v>28</v>
      </c>
      <c r="D22" s="6" t="s">
        <v>37</v>
      </c>
      <c r="E22" s="6">
        <v>1</v>
      </c>
      <c r="F22" s="6">
        <v>3</v>
      </c>
      <c r="G22" s="6">
        <v>0</v>
      </c>
      <c r="H22" s="6">
        <v>1</v>
      </c>
      <c r="I22" s="6">
        <v>0.86</v>
      </c>
      <c r="J22" s="6">
        <v>17</v>
      </c>
      <c r="K22" s="6">
        <v>0</v>
      </c>
      <c r="L22" s="6">
        <v>4</v>
      </c>
      <c r="M22" s="6">
        <v>0</v>
      </c>
      <c r="N22" s="6">
        <v>0</v>
      </c>
      <c r="O22" s="6">
        <v>0</v>
      </c>
      <c r="P22" s="6">
        <v>21</v>
      </c>
      <c r="Q22" s="6">
        <v>9</v>
      </c>
      <c r="R22" s="6">
        <v>2</v>
      </c>
      <c r="S22" s="6">
        <v>2</v>
      </c>
      <c r="T22" s="6">
        <v>0</v>
      </c>
      <c r="U22" s="6">
        <v>2</v>
      </c>
      <c r="V22" s="6">
        <v>0</v>
      </c>
      <c r="W22" s="6">
        <v>12</v>
      </c>
      <c r="X22" s="6">
        <v>2</v>
      </c>
      <c r="Y22" s="6">
        <v>0</v>
      </c>
      <c r="Z22" s="6">
        <v>0</v>
      </c>
      <c r="AA22" s="6">
        <v>73</v>
      </c>
      <c r="AB22" s="6">
        <v>482</v>
      </c>
      <c r="AC22" s="6">
        <v>2.59</v>
      </c>
      <c r="AD22" s="6">
        <v>0.52400000000000002</v>
      </c>
      <c r="AE22" s="6">
        <v>3.9</v>
      </c>
      <c r="AF22" s="6">
        <v>0</v>
      </c>
      <c r="AG22" s="6">
        <v>0.9</v>
      </c>
      <c r="AH22" s="6">
        <v>5.0999999999999996</v>
      </c>
      <c r="AI22" s="6">
        <v>6</v>
      </c>
      <c r="AJ22" s="6" t="s">
        <v>37</v>
      </c>
      <c r="AK22" s="6" t="s">
        <v>463</v>
      </c>
      <c r="AL22" s="6" t="s">
        <v>838</v>
      </c>
      <c r="AM22" s="6" t="s">
        <v>822</v>
      </c>
      <c r="AN22" s="82">
        <f>IFERROR(VLOOKUP(B22,'DET Salary 2024'!$A$1:$I$35,7,FALSE), "No salary data")</f>
        <v>163098</v>
      </c>
    </row>
    <row r="23" spans="1:40" x14ac:dyDescent="0.25">
      <c r="A23" s="7">
        <v>22</v>
      </c>
      <c r="B23" s="7" t="s">
        <v>464</v>
      </c>
      <c r="C23" s="7">
        <v>28</v>
      </c>
      <c r="D23" s="7" t="s">
        <v>37</v>
      </c>
      <c r="E23" s="7">
        <v>-0.6</v>
      </c>
      <c r="F23" s="7">
        <v>0</v>
      </c>
      <c r="G23" s="7">
        <v>3</v>
      </c>
      <c r="H23" s="7">
        <v>0</v>
      </c>
      <c r="I23" s="7">
        <v>4.34</v>
      </c>
      <c r="J23" s="7">
        <v>21</v>
      </c>
      <c r="K23" s="7">
        <v>0</v>
      </c>
      <c r="L23" s="7">
        <v>10</v>
      </c>
      <c r="M23" s="7">
        <v>0</v>
      </c>
      <c r="N23" s="7">
        <v>0</v>
      </c>
      <c r="O23" s="7">
        <v>2</v>
      </c>
      <c r="P23" s="7">
        <v>18.2</v>
      </c>
      <c r="Q23" s="7">
        <v>16</v>
      </c>
      <c r="R23" s="7">
        <v>16</v>
      </c>
      <c r="S23" s="7">
        <v>9</v>
      </c>
      <c r="T23" s="7">
        <v>0</v>
      </c>
      <c r="U23" s="7">
        <v>17</v>
      </c>
      <c r="V23" s="7">
        <v>0</v>
      </c>
      <c r="W23" s="7">
        <v>21</v>
      </c>
      <c r="X23" s="7">
        <v>2</v>
      </c>
      <c r="Y23" s="7">
        <v>0</v>
      </c>
      <c r="Z23" s="7">
        <v>4</v>
      </c>
      <c r="AA23" s="7">
        <v>90</v>
      </c>
      <c r="AB23" s="7">
        <v>95</v>
      </c>
      <c r="AC23" s="7">
        <v>3.97</v>
      </c>
      <c r="AD23" s="7">
        <v>1.768</v>
      </c>
      <c r="AE23" s="7">
        <v>7.7</v>
      </c>
      <c r="AF23" s="7">
        <v>0</v>
      </c>
      <c r="AG23" s="7">
        <v>8.1999999999999993</v>
      </c>
      <c r="AH23" s="7">
        <v>10.1</v>
      </c>
      <c r="AI23" s="7">
        <v>1.24</v>
      </c>
      <c r="AJ23" s="7" t="s">
        <v>37</v>
      </c>
      <c r="AK23" s="7" t="s">
        <v>465</v>
      </c>
      <c r="AL23" s="7" t="s">
        <v>838</v>
      </c>
      <c r="AM23" s="7" t="s">
        <v>822</v>
      </c>
      <c r="AN23" s="82">
        <f>IFERROR(VLOOKUP(B23,'DET Salary 2024'!$A$1:$I$35,7,FALSE), "No salary data")</f>
        <v>233073</v>
      </c>
    </row>
    <row r="24" spans="1:40" x14ac:dyDescent="0.25">
      <c r="A24" s="6">
        <v>23</v>
      </c>
      <c r="B24" s="6" t="s">
        <v>466</v>
      </c>
      <c r="C24" s="6">
        <v>21</v>
      </c>
      <c r="D24" s="6" t="s">
        <v>37</v>
      </c>
      <c r="E24" s="6">
        <v>0.1</v>
      </c>
      <c r="F24" s="6">
        <v>0</v>
      </c>
      <c r="G24" s="6">
        <v>0</v>
      </c>
      <c r="H24" s="6"/>
      <c r="I24" s="6">
        <v>0</v>
      </c>
      <c r="J24" s="6">
        <v>2</v>
      </c>
      <c r="K24" s="6">
        <v>0</v>
      </c>
      <c r="L24" s="6">
        <v>1</v>
      </c>
      <c r="M24" s="6">
        <v>0</v>
      </c>
      <c r="N24" s="6">
        <v>0</v>
      </c>
      <c r="O24" s="6">
        <v>0</v>
      </c>
      <c r="P24" s="6">
        <v>4</v>
      </c>
      <c r="Q24" s="6">
        <v>1</v>
      </c>
      <c r="R24" s="6">
        <v>0</v>
      </c>
      <c r="S24" s="6">
        <v>0</v>
      </c>
      <c r="T24" s="6">
        <v>0</v>
      </c>
      <c r="U24" s="6">
        <v>1</v>
      </c>
      <c r="V24" s="6">
        <v>0</v>
      </c>
      <c r="W24" s="6">
        <v>2</v>
      </c>
      <c r="X24" s="6">
        <v>0</v>
      </c>
      <c r="Y24" s="6">
        <v>0</v>
      </c>
      <c r="Z24" s="6">
        <v>0</v>
      </c>
      <c r="AA24" s="6">
        <v>16</v>
      </c>
      <c r="AB24" s="6"/>
      <c r="AC24" s="6">
        <v>2.92</v>
      </c>
      <c r="AD24" s="6">
        <v>0.5</v>
      </c>
      <c r="AE24" s="6">
        <v>2.2999999999999998</v>
      </c>
      <c r="AF24" s="6">
        <v>0</v>
      </c>
      <c r="AG24" s="6">
        <v>2.2999999999999998</v>
      </c>
      <c r="AH24" s="6">
        <v>4.5</v>
      </c>
      <c r="AI24" s="6">
        <v>2</v>
      </c>
      <c r="AJ24" s="6" t="s">
        <v>37</v>
      </c>
      <c r="AK24" s="6" t="s">
        <v>467</v>
      </c>
      <c r="AL24" s="6" t="s">
        <v>838</v>
      </c>
      <c r="AM24" s="6" t="s">
        <v>822</v>
      </c>
      <c r="AN24" s="82">
        <f>IFERROR(VLOOKUP(B24,'DET Salary 2024'!$A$1:$I$35,7,FALSE), "No salary data")</f>
        <v>19890</v>
      </c>
    </row>
    <row r="25" spans="1:40" x14ac:dyDescent="0.25">
      <c r="A25" s="7">
        <v>24</v>
      </c>
      <c r="B25" s="7" t="s">
        <v>468</v>
      </c>
      <c r="C25" s="7">
        <v>27</v>
      </c>
      <c r="D25" s="7" t="s">
        <v>37</v>
      </c>
      <c r="E25" s="7">
        <v>0</v>
      </c>
      <c r="F25" s="7">
        <v>1</v>
      </c>
      <c r="G25" s="7">
        <v>0</v>
      </c>
      <c r="H25" s="7">
        <v>1</v>
      </c>
      <c r="I25" s="7">
        <v>5.4</v>
      </c>
      <c r="J25" s="7">
        <v>3</v>
      </c>
      <c r="K25" s="7">
        <v>0</v>
      </c>
      <c r="L25" s="7">
        <v>0</v>
      </c>
      <c r="M25" s="7">
        <v>0</v>
      </c>
      <c r="N25" s="7">
        <v>0</v>
      </c>
      <c r="O25" s="7">
        <v>0</v>
      </c>
      <c r="P25" s="7">
        <v>3.1</v>
      </c>
      <c r="Q25" s="7">
        <v>3</v>
      </c>
      <c r="R25" s="7">
        <v>2</v>
      </c>
      <c r="S25" s="7">
        <v>2</v>
      </c>
      <c r="T25" s="7">
        <v>0</v>
      </c>
      <c r="U25" s="7">
        <v>2</v>
      </c>
      <c r="V25" s="7">
        <v>0</v>
      </c>
      <c r="W25" s="7">
        <v>2</v>
      </c>
      <c r="X25" s="7">
        <v>1</v>
      </c>
      <c r="Y25" s="7">
        <v>0</v>
      </c>
      <c r="Z25" s="7">
        <v>0</v>
      </c>
      <c r="AA25" s="7">
        <v>16</v>
      </c>
      <c r="AB25" s="7">
        <v>84</v>
      </c>
      <c r="AC25" s="7">
        <v>4.67</v>
      </c>
      <c r="AD25" s="7">
        <v>1.5</v>
      </c>
      <c r="AE25" s="7">
        <v>8.1</v>
      </c>
      <c r="AF25" s="7">
        <v>0</v>
      </c>
      <c r="AG25" s="7">
        <v>5.4</v>
      </c>
      <c r="AH25" s="7">
        <v>5.4</v>
      </c>
      <c r="AI25" s="7">
        <v>1</v>
      </c>
      <c r="AJ25" s="7" t="s">
        <v>37</v>
      </c>
      <c r="AK25" s="7" t="s">
        <v>469</v>
      </c>
      <c r="AL25" s="7" t="s">
        <v>838</v>
      </c>
      <c r="AM25" s="7" t="s">
        <v>822</v>
      </c>
      <c r="AN25" s="82" t="str">
        <f>IFERROR(VLOOKUP(B25,'DET Salary 2024'!$A$1:$I$35,7,FALSE), "No salary data")</f>
        <v>No salary data</v>
      </c>
    </row>
    <row r="26" spans="1:40" x14ac:dyDescent="0.25">
      <c r="A26" s="6">
        <v>25</v>
      </c>
      <c r="B26" s="6" t="s">
        <v>470</v>
      </c>
      <c r="C26" s="6">
        <v>29</v>
      </c>
      <c r="D26" s="6" t="s">
        <v>37</v>
      </c>
      <c r="E26" s="6">
        <v>-0.1</v>
      </c>
      <c r="F26" s="6">
        <v>0</v>
      </c>
      <c r="G26" s="6">
        <v>0</v>
      </c>
      <c r="H26" s="6"/>
      <c r="I26" s="6">
        <v>9</v>
      </c>
      <c r="J26" s="6">
        <v>3</v>
      </c>
      <c r="K26" s="6">
        <v>0</v>
      </c>
      <c r="L26" s="6">
        <v>3</v>
      </c>
      <c r="M26" s="6">
        <v>0</v>
      </c>
      <c r="N26" s="6">
        <v>0</v>
      </c>
      <c r="O26" s="6">
        <v>0</v>
      </c>
      <c r="P26" s="6">
        <v>2</v>
      </c>
      <c r="Q26" s="6">
        <v>1</v>
      </c>
      <c r="R26" s="6">
        <v>2</v>
      </c>
      <c r="S26" s="6">
        <v>2</v>
      </c>
      <c r="T26" s="6">
        <v>1</v>
      </c>
      <c r="U26" s="6">
        <v>1</v>
      </c>
      <c r="V26" s="6">
        <v>0</v>
      </c>
      <c r="W26" s="6">
        <v>0</v>
      </c>
      <c r="X26" s="6">
        <v>0</v>
      </c>
      <c r="Y26" s="6">
        <v>0</v>
      </c>
      <c r="Z26" s="6">
        <v>0</v>
      </c>
      <c r="AA26" s="6">
        <v>8</v>
      </c>
      <c r="AB26" s="6">
        <v>54</v>
      </c>
      <c r="AC26" s="6">
        <v>11.17</v>
      </c>
      <c r="AD26" s="6">
        <v>1</v>
      </c>
      <c r="AE26" s="6">
        <v>4.5</v>
      </c>
      <c r="AF26" s="6">
        <v>4.5</v>
      </c>
      <c r="AG26" s="6">
        <v>4.5</v>
      </c>
      <c r="AH26" s="6">
        <v>0</v>
      </c>
      <c r="AI26" s="6">
        <v>0</v>
      </c>
      <c r="AJ26" s="6" t="s">
        <v>37</v>
      </c>
      <c r="AK26" s="6" t="s">
        <v>387</v>
      </c>
      <c r="AL26" s="6" t="s">
        <v>838</v>
      </c>
      <c r="AM26" s="6" t="s">
        <v>822</v>
      </c>
      <c r="AN26" s="82">
        <f>IFERROR(VLOOKUP(B26,'DET Salary 2024'!$A$1:$I$35,7,FALSE), "No salary data")</f>
        <v>764400</v>
      </c>
    </row>
    <row r="27" spans="1:40" x14ac:dyDescent="0.25">
      <c r="A27" s="8">
        <v>26</v>
      </c>
      <c r="B27" s="8" t="s">
        <v>471</v>
      </c>
      <c r="C27" s="8">
        <v>25</v>
      </c>
      <c r="D27" s="8" t="s">
        <v>37</v>
      </c>
      <c r="E27" s="8">
        <v>0.1</v>
      </c>
      <c r="F27" s="8">
        <v>1</v>
      </c>
      <c r="G27" s="8">
        <v>0</v>
      </c>
      <c r="H27" s="8">
        <v>1</v>
      </c>
      <c r="I27" s="8">
        <v>0</v>
      </c>
      <c r="J27" s="8">
        <v>2</v>
      </c>
      <c r="K27" s="8">
        <v>0</v>
      </c>
      <c r="L27" s="8">
        <v>0</v>
      </c>
      <c r="M27" s="8">
        <v>0</v>
      </c>
      <c r="N27" s="8">
        <v>0</v>
      </c>
      <c r="O27" s="8">
        <v>0</v>
      </c>
      <c r="P27" s="8">
        <v>2</v>
      </c>
      <c r="Q27" s="8">
        <v>0</v>
      </c>
      <c r="R27" s="8">
        <v>0</v>
      </c>
      <c r="S27" s="8">
        <v>0</v>
      </c>
      <c r="T27" s="8">
        <v>0</v>
      </c>
      <c r="U27" s="8">
        <v>0</v>
      </c>
      <c r="V27" s="8">
        <v>0</v>
      </c>
      <c r="W27" s="8">
        <v>0</v>
      </c>
      <c r="X27" s="8">
        <v>0</v>
      </c>
      <c r="Y27" s="8">
        <v>0</v>
      </c>
      <c r="Z27" s="8">
        <v>0</v>
      </c>
      <c r="AA27" s="8">
        <v>6</v>
      </c>
      <c r="AB27" s="8"/>
      <c r="AC27" s="8">
        <v>3.17</v>
      </c>
      <c r="AD27" s="8">
        <v>0</v>
      </c>
      <c r="AE27" s="8">
        <v>0</v>
      </c>
      <c r="AF27" s="8">
        <v>0</v>
      </c>
      <c r="AG27" s="8">
        <v>0</v>
      </c>
      <c r="AH27" s="8">
        <v>0</v>
      </c>
      <c r="AI27" s="8"/>
      <c r="AJ27" s="8" t="s">
        <v>37</v>
      </c>
      <c r="AK27" s="8" t="s">
        <v>472</v>
      </c>
      <c r="AL27" s="8" t="s">
        <v>838</v>
      </c>
      <c r="AM27" s="8" t="s">
        <v>822</v>
      </c>
      <c r="AN27" s="82" t="str">
        <f>IFERROR(VLOOKUP(B27,'DET Salary 2024'!$A$1:$I$35,7,FALSE), "No salary data")</f>
        <v>No salary data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61ECDE-3E15-4739-A171-344B16699943}">
  <sheetPr codeName="Sheet9"/>
  <dimension ref="A1:L35"/>
  <sheetViews>
    <sheetView topLeftCell="A7" zoomScale="75" workbookViewId="0">
      <selection activeCell="I16" sqref="I16"/>
    </sheetView>
  </sheetViews>
  <sheetFormatPr defaultRowHeight="15" x14ac:dyDescent="0.25"/>
  <cols>
    <col min="1" max="1" width="17.140625" bestFit="1" customWidth="1"/>
    <col min="4" max="4" width="12.7109375" bestFit="1" customWidth="1"/>
    <col min="5" max="5" width="13.7109375" style="1" bestFit="1" customWidth="1"/>
    <col min="6" max="6" width="15.85546875" customWidth="1"/>
    <col min="7" max="7" width="14.42578125" style="1" customWidth="1"/>
    <col min="8" max="8" width="15.5703125" style="1" customWidth="1"/>
    <col min="9" max="9" width="15.28515625" customWidth="1"/>
    <col min="12" max="12" width="14.28515625" bestFit="1" customWidth="1"/>
  </cols>
  <sheetData>
    <row r="1" spans="1:12" x14ac:dyDescent="0.25">
      <c r="A1" s="33" t="s">
        <v>1</v>
      </c>
      <c r="B1" s="33" t="s">
        <v>3</v>
      </c>
      <c r="C1" s="33" t="s">
        <v>2</v>
      </c>
      <c r="D1" s="33" t="s">
        <v>718</v>
      </c>
      <c r="E1" s="34" t="s">
        <v>719</v>
      </c>
      <c r="F1" s="33" t="s">
        <v>720</v>
      </c>
      <c r="G1" s="34" t="s">
        <v>721</v>
      </c>
      <c r="H1" s="34" t="s">
        <v>722</v>
      </c>
      <c r="I1" s="33" t="s">
        <v>723</v>
      </c>
      <c r="L1" s="2" t="s">
        <v>833</v>
      </c>
    </row>
    <row r="2" spans="1:12" x14ac:dyDescent="0.25">
      <c r="A2" s="68" t="s">
        <v>428</v>
      </c>
      <c r="B2" s="68" t="s">
        <v>171</v>
      </c>
      <c r="C2" s="68">
        <v>36</v>
      </c>
      <c r="D2" s="68" t="s">
        <v>725</v>
      </c>
      <c r="E2" s="69">
        <v>12000000</v>
      </c>
      <c r="F2" s="70">
        <v>5.0599999999999999E-2</v>
      </c>
      <c r="G2" s="69">
        <v>14000000</v>
      </c>
      <c r="H2" s="69">
        <v>14000000</v>
      </c>
      <c r="I2" s="68">
        <v>2026</v>
      </c>
    </row>
    <row r="3" spans="1:12" x14ac:dyDescent="0.25">
      <c r="A3" s="7" t="s">
        <v>767</v>
      </c>
      <c r="B3" s="7" t="s">
        <v>10</v>
      </c>
      <c r="C3" s="7">
        <v>22</v>
      </c>
      <c r="D3" s="7"/>
      <c r="E3" s="71">
        <v>4773750</v>
      </c>
      <c r="F3" s="72">
        <v>2.01E-2</v>
      </c>
      <c r="G3" s="71">
        <v>4742569</v>
      </c>
      <c r="H3" s="71">
        <v>2833333</v>
      </c>
      <c r="I3" s="7">
        <v>2033</v>
      </c>
    </row>
    <row r="4" spans="1:12" x14ac:dyDescent="0.25">
      <c r="A4" s="6" t="s">
        <v>768</v>
      </c>
      <c r="B4" s="6" t="s">
        <v>160</v>
      </c>
      <c r="C4" s="6">
        <v>27</v>
      </c>
      <c r="D4" s="6" t="s">
        <v>727</v>
      </c>
      <c r="E4" s="73">
        <v>2650000</v>
      </c>
      <c r="F4" s="74">
        <v>1.12E-2</v>
      </c>
      <c r="G4" s="73">
        <v>2650000</v>
      </c>
      <c r="H4" s="73">
        <v>2650000</v>
      </c>
      <c r="I4" s="6"/>
    </row>
    <row r="5" spans="1:12" x14ac:dyDescent="0.25">
      <c r="A5" s="7" t="s">
        <v>353</v>
      </c>
      <c r="B5" s="7" t="s">
        <v>35</v>
      </c>
      <c r="C5" s="7">
        <v>29</v>
      </c>
      <c r="D5" s="7" t="s">
        <v>727</v>
      </c>
      <c r="E5" s="71">
        <v>1700000</v>
      </c>
      <c r="F5" s="72">
        <v>7.1999999999999998E-3</v>
      </c>
      <c r="G5" s="71">
        <v>1700000</v>
      </c>
      <c r="H5" s="71">
        <v>1700000</v>
      </c>
      <c r="I5" s="7"/>
    </row>
    <row r="6" spans="1:12" x14ac:dyDescent="0.25">
      <c r="A6" s="6" t="s">
        <v>432</v>
      </c>
      <c r="B6" s="6" t="s">
        <v>160</v>
      </c>
      <c r="C6" s="6">
        <v>27</v>
      </c>
      <c r="D6" s="6" t="s">
        <v>727</v>
      </c>
      <c r="E6" s="73">
        <v>840000</v>
      </c>
      <c r="F6" s="74">
        <v>3.5000000000000001E-3</v>
      </c>
      <c r="G6" s="73">
        <v>830000</v>
      </c>
      <c r="H6" s="73">
        <v>830000</v>
      </c>
      <c r="I6" s="6"/>
    </row>
    <row r="7" spans="1:12" x14ac:dyDescent="0.25">
      <c r="A7" s="7" t="s">
        <v>769</v>
      </c>
      <c r="B7" s="7" t="s">
        <v>54</v>
      </c>
      <c r="C7" s="7">
        <v>23</v>
      </c>
      <c r="D7" s="7" t="s">
        <v>728</v>
      </c>
      <c r="E7" s="71">
        <v>766300</v>
      </c>
      <c r="F7" s="72">
        <v>3.2000000000000002E-3</v>
      </c>
      <c r="G7" s="71">
        <v>1284146</v>
      </c>
      <c r="H7" s="71">
        <v>766300</v>
      </c>
      <c r="I7" s="7"/>
    </row>
    <row r="8" spans="1:12" x14ac:dyDescent="0.25">
      <c r="A8" s="6" t="s">
        <v>419</v>
      </c>
      <c r="B8" s="6" t="s">
        <v>171</v>
      </c>
      <c r="C8" s="6">
        <v>28</v>
      </c>
      <c r="D8" s="6" t="s">
        <v>728</v>
      </c>
      <c r="E8" s="73">
        <v>766300</v>
      </c>
      <c r="F8" s="74">
        <v>3.2000000000000002E-3</v>
      </c>
      <c r="G8" s="73">
        <v>766300</v>
      </c>
      <c r="H8" s="73">
        <v>766300</v>
      </c>
      <c r="I8" s="6"/>
    </row>
    <row r="9" spans="1:12" x14ac:dyDescent="0.25">
      <c r="A9" s="7" t="s">
        <v>770</v>
      </c>
      <c r="B9" s="7" t="s">
        <v>10</v>
      </c>
      <c r="C9" s="7">
        <v>31</v>
      </c>
      <c r="D9" s="7" t="s">
        <v>728</v>
      </c>
      <c r="E9" s="71">
        <v>766100</v>
      </c>
      <c r="F9" s="72">
        <v>3.2000000000000002E-3</v>
      </c>
      <c r="G9" s="71">
        <v>766100</v>
      </c>
      <c r="H9" s="71">
        <v>766100</v>
      </c>
      <c r="I9" s="7"/>
    </row>
    <row r="10" spans="1:12" x14ac:dyDescent="0.25">
      <c r="A10" s="6" t="s">
        <v>379</v>
      </c>
      <c r="B10" s="6" t="s">
        <v>62</v>
      </c>
      <c r="C10" s="6">
        <v>27</v>
      </c>
      <c r="D10" s="6" t="s">
        <v>728</v>
      </c>
      <c r="E10" s="73">
        <v>760000</v>
      </c>
      <c r="F10" s="74">
        <v>3.2000000000000002E-3</v>
      </c>
      <c r="G10" s="73">
        <v>1093719</v>
      </c>
      <c r="H10" s="73">
        <v>766000</v>
      </c>
      <c r="I10" s="6"/>
    </row>
    <row r="11" spans="1:12" x14ac:dyDescent="0.25">
      <c r="A11" s="7" t="s">
        <v>470</v>
      </c>
      <c r="B11" s="7" t="s">
        <v>10</v>
      </c>
      <c r="C11" s="7">
        <v>29</v>
      </c>
      <c r="D11" s="7" t="s">
        <v>728</v>
      </c>
      <c r="E11" s="71">
        <v>764400</v>
      </c>
      <c r="F11" s="72">
        <v>3.2000000000000002E-3</v>
      </c>
      <c r="G11" s="71">
        <v>764400</v>
      </c>
      <c r="H11" s="71">
        <v>764400</v>
      </c>
      <c r="I11" s="7"/>
    </row>
    <row r="12" spans="1:12" x14ac:dyDescent="0.25">
      <c r="A12" s="6" t="s">
        <v>771</v>
      </c>
      <c r="B12" s="6" t="s">
        <v>66</v>
      </c>
      <c r="C12" s="6">
        <v>26</v>
      </c>
      <c r="D12" s="6" t="s">
        <v>728</v>
      </c>
      <c r="E12" s="73">
        <v>761000</v>
      </c>
      <c r="F12" s="74">
        <v>3.2000000000000002E-3</v>
      </c>
      <c r="G12" s="73">
        <v>1071609</v>
      </c>
      <c r="H12" s="73">
        <v>761000</v>
      </c>
      <c r="I12" s="6"/>
    </row>
    <row r="13" spans="1:12" x14ac:dyDescent="0.25">
      <c r="A13" s="7" t="s">
        <v>439</v>
      </c>
      <c r="B13" s="7" t="s">
        <v>171</v>
      </c>
      <c r="C13" s="7">
        <v>29</v>
      </c>
      <c r="D13" s="7" t="s">
        <v>728</v>
      </c>
      <c r="E13" s="71">
        <v>760700</v>
      </c>
      <c r="F13" s="72">
        <v>3.2000000000000002E-3</v>
      </c>
      <c r="G13" s="71">
        <v>760700</v>
      </c>
      <c r="H13" s="71">
        <v>760700</v>
      </c>
      <c r="I13" s="7"/>
    </row>
    <row r="14" spans="1:12" x14ac:dyDescent="0.25">
      <c r="A14" s="6" t="s">
        <v>772</v>
      </c>
      <c r="B14" s="6" t="s">
        <v>171</v>
      </c>
      <c r="C14" s="6">
        <v>28</v>
      </c>
      <c r="D14" s="6" t="s">
        <v>728</v>
      </c>
      <c r="E14" s="73">
        <v>758300</v>
      </c>
      <c r="F14" s="74">
        <v>3.2000000000000002E-3</v>
      </c>
      <c r="G14" s="73">
        <v>1080995</v>
      </c>
      <c r="H14" s="73">
        <v>758300</v>
      </c>
      <c r="I14" s="6"/>
    </row>
    <row r="15" spans="1:12" x14ac:dyDescent="0.25">
      <c r="A15" s="7" t="s">
        <v>426</v>
      </c>
      <c r="B15" s="7" t="s">
        <v>160</v>
      </c>
      <c r="C15" s="7">
        <v>24</v>
      </c>
      <c r="D15" s="7" t="s">
        <v>728</v>
      </c>
      <c r="E15" s="71">
        <v>752300</v>
      </c>
      <c r="F15" s="72">
        <v>3.2000000000000002E-3</v>
      </c>
      <c r="G15" s="71">
        <v>1013438</v>
      </c>
      <c r="H15" s="71">
        <v>752300</v>
      </c>
      <c r="I15" s="7"/>
    </row>
    <row r="16" spans="1:12" x14ac:dyDescent="0.25">
      <c r="A16" s="6" t="s">
        <v>773</v>
      </c>
      <c r="B16" s="6" t="s">
        <v>47</v>
      </c>
      <c r="C16" s="6">
        <v>24</v>
      </c>
      <c r="D16" s="6" t="s">
        <v>728</v>
      </c>
      <c r="E16" s="73">
        <v>692172</v>
      </c>
      <c r="F16" s="74">
        <v>2.8999999999999998E-3</v>
      </c>
      <c r="G16" s="73">
        <v>692172</v>
      </c>
      <c r="H16" s="73">
        <v>692172</v>
      </c>
      <c r="I16" s="6"/>
    </row>
    <row r="17" spans="1:9" x14ac:dyDescent="0.25">
      <c r="A17" s="7" t="s">
        <v>441</v>
      </c>
      <c r="B17" s="7" t="s">
        <v>171</v>
      </c>
      <c r="C17" s="7">
        <v>26</v>
      </c>
      <c r="D17" s="7" t="s">
        <v>728</v>
      </c>
      <c r="E17" s="71">
        <v>552942</v>
      </c>
      <c r="F17" s="72">
        <v>2.3E-3</v>
      </c>
      <c r="G17" s="71">
        <v>552942</v>
      </c>
      <c r="H17" s="71">
        <v>552942</v>
      </c>
      <c r="I17" s="7"/>
    </row>
    <row r="18" spans="1:9" x14ac:dyDescent="0.25">
      <c r="A18" s="6" t="s">
        <v>774</v>
      </c>
      <c r="B18" s="6" t="s">
        <v>58</v>
      </c>
      <c r="C18" s="6">
        <v>24</v>
      </c>
      <c r="D18" s="6" t="s">
        <v>728</v>
      </c>
      <c r="E18" s="73">
        <v>506016</v>
      </c>
      <c r="F18" s="74">
        <v>2.0999999999999999E-3</v>
      </c>
      <c r="G18" s="73">
        <v>506016</v>
      </c>
      <c r="H18" s="73">
        <v>506016</v>
      </c>
      <c r="I18" s="6"/>
    </row>
    <row r="19" spans="1:9" x14ac:dyDescent="0.25">
      <c r="A19" s="7" t="s">
        <v>355</v>
      </c>
      <c r="B19" s="7" t="s">
        <v>40</v>
      </c>
      <c r="C19" s="7">
        <v>24</v>
      </c>
      <c r="D19" s="7" t="s">
        <v>728</v>
      </c>
      <c r="E19" s="71">
        <v>456987</v>
      </c>
      <c r="F19" s="72">
        <v>1.9E-3</v>
      </c>
      <c r="G19" s="71">
        <v>456987</v>
      </c>
      <c r="H19" s="71">
        <v>456987</v>
      </c>
      <c r="I19" s="7"/>
    </row>
    <row r="20" spans="1:9" x14ac:dyDescent="0.25">
      <c r="A20" s="6" t="s">
        <v>434</v>
      </c>
      <c r="B20" s="6" t="s">
        <v>160</v>
      </c>
      <c r="C20" s="6">
        <v>23</v>
      </c>
      <c r="D20" s="6" t="s">
        <v>728</v>
      </c>
      <c r="E20" s="73">
        <v>358020</v>
      </c>
      <c r="F20" s="74">
        <v>1.5E-3</v>
      </c>
      <c r="G20" s="73">
        <v>358020</v>
      </c>
      <c r="H20" s="73">
        <v>358020</v>
      </c>
      <c r="I20" s="6"/>
    </row>
    <row r="21" spans="1:9" x14ac:dyDescent="0.25">
      <c r="A21" s="7" t="s">
        <v>376</v>
      </c>
      <c r="B21" s="7" t="s">
        <v>66</v>
      </c>
      <c r="C21" s="7">
        <v>24</v>
      </c>
      <c r="D21" s="7" t="s">
        <v>728</v>
      </c>
      <c r="E21" s="71">
        <v>306306</v>
      </c>
      <c r="F21" s="72">
        <v>1.2999999999999999E-3</v>
      </c>
      <c r="G21" s="71">
        <v>306306</v>
      </c>
      <c r="H21" s="71">
        <v>306306</v>
      </c>
      <c r="I21" s="7"/>
    </row>
    <row r="22" spans="1:9" x14ac:dyDescent="0.25">
      <c r="A22" s="6" t="s">
        <v>402</v>
      </c>
      <c r="B22" s="6" t="s">
        <v>35</v>
      </c>
      <c r="C22" s="6">
        <v>25</v>
      </c>
      <c r="D22" s="6" t="s">
        <v>728</v>
      </c>
      <c r="E22" s="73">
        <v>242658</v>
      </c>
      <c r="F22" s="74">
        <v>1E-3</v>
      </c>
      <c r="G22" s="73">
        <v>242658</v>
      </c>
      <c r="H22" s="73">
        <v>242658</v>
      </c>
      <c r="I22" s="6"/>
    </row>
    <row r="23" spans="1:9" x14ac:dyDescent="0.25">
      <c r="A23" s="7" t="s">
        <v>453</v>
      </c>
      <c r="B23" s="7" t="s">
        <v>171</v>
      </c>
      <c r="C23" s="7">
        <v>26</v>
      </c>
      <c r="D23" s="7" t="s">
        <v>728</v>
      </c>
      <c r="E23" s="71">
        <v>234702</v>
      </c>
      <c r="F23" s="72">
        <v>1E-3</v>
      </c>
      <c r="G23" s="71">
        <v>234702</v>
      </c>
      <c r="H23" s="71">
        <v>234702</v>
      </c>
      <c r="I23" s="7"/>
    </row>
    <row r="24" spans="1:9" x14ac:dyDescent="0.25">
      <c r="A24" s="6" t="s">
        <v>464</v>
      </c>
      <c r="B24" s="6" t="s">
        <v>171</v>
      </c>
      <c r="C24" s="6">
        <v>28</v>
      </c>
      <c r="D24" s="6" t="s">
        <v>728</v>
      </c>
      <c r="E24" s="73">
        <v>233073</v>
      </c>
      <c r="F24" s="74">
        <v>1E-3</v>
      </c>
      <c r="G24" s="73">
        <v>233073</v>
      </c>
      <c r="H24" s="73">
        <v>233073</v>
      </c>
      <c r="I24" s="6"/>
    </row>
    <row r="25" spans="1:9" x14ac:dyDescent="0.25">
      <c r="A25" s="7" t="s">
        <v>775</v>
      </c>
      <c r="B25" s="7" t="s">
        <v>160</v>
      </c>
      <c r="C25" s="7">
        <v>25</v>
      </c>
      <c r="D25" s="7" t="s">
        <v>728</v>
      </c>
      <c r="E25" s="71">
        <v>222768</v>
      </c>
      <c r="F25" s="72">
        <v>8.9999999999999998E-4</v>
      </c>
      <c r="G25" s="71">
        <v>222768</v>
      </c>
      <c r="H25" s="71">
        <v>222768</v>
      </c>
      <c r="I25" s="7"/>
    </row>
    <row r="26" spans="1:9" x14ac:dyDescent="0.25">
      <c r="A26" s="6" t="s">
        <v>776</v>
      </c>
      <c r="B26" s="6" t="s">
        <v>47</v>
      </c>
      <c r="C26" s="6">
        <v>24</v>
      </c>
      <c r="D26" s="6" t="s">
        <v>728</v>
      </c>
      <c r="E26" s="73">
        <v>175032</v>
      </c>
      <c r="F26" s="74">
        <v>6.9999999999999999E-4</v>
      </c>
      <c r="G26" s="73">
        <v>175032</v>
      </c>
      <c r="H26" s="73">
        <v>175032</v>
      </c>
      <c r="I26" s="6"/>
    </row>
    <row r="27" spans="1:9" x14ac:dyDescent="0.25">
      <c r="A27" s="7" t="s">
        <v>777</v>
      </c>
      <c r="B27" s="7" t="s">
        <v>11</v>
      </c>
      <c r="C27" s="7">
        <v>23</v>
      </c>
      <c r="D27" s="7" t="s">
        <v>728</v>
      </c>
      <c r="E27" s="71">
        <v>175032</v>
      </c>
      <c r="F27" s="72">
        <v>6.9999999999999999E-4</v>
      </c>
      <c r="G27" s="71">
        <v>175032</v>
      </c>
      <c r="H27" s="71">
        <v>175032</v>
      </c>
      <c r="I27" s="7"/>
    </row>
    <row r="28" spans="1:9" x14ac:dyDescent="0.25">
      <c r="A28" s="6" t="s">
        <v>778</v>
      </c>
      <c r="B28" s="6" t="s">
        <v>171</v>
      </c>
      <c r="C28" s="6">
        <v>28</v>
      </c>
      <c r="D28" s="6" t="s">
        <v>728</v>
      </c>
      <c r="E28" s="73">
        <v>163098</v>
      </c>
      <c r="F28" s="74">
        <v>6.9999999999999999E-4</v>
      </c>
      <c r="G28" s="73">
        <v>163098</v>
      </c>
      <c r="H28" s="73">
        <v>163098</v>
      </c>
      <c r="I28" s="6"/>
    </row>
    <row r="29" spans="1:9" x14ac:dyDescent="0.25">
      <c r="A29" s="7" t="s">
        <v>461</v>
      </c>
      <c r="B29" s="7" t="s">
        <v>171</v>
      </c>
      <c r="C29" s="7">
        <v>24</v>
      </c>
      <c r="D29" s="7" t="s">
        <v>728</v>
      </c>
      <c r="E29" s="71">
        <v>139230</v>
      </c>
      <c r="F29" s="72">
        <v>5.9999999999999995E-4</v>
      </c>
      <c r="G29" s="71">
        <v>139230</v>
      </c>
      <c r="H29" s="71">
        <v>139230</v>
      </c>
      <c r="I29" s="7"/>
    </row>
    <row r="30" spans="1:9" x14ac:dyDescent="0.25">
      <c r="A30" s="6" t="s">
        <v>459</v>
      </c>
      <c r="B30" s="6" t="s">
        <v>160</v>
      </c>
      <c r="C30" s="6">
        <v>24</v>
      </c>
      <c r="D30" s="6" t="s">
        <v>728</v>
      </c>
      <c r="E30" s="73">
        <v>135252</v>
      </c>
      <c r="F30" s="74">
        <v>5.9999999999999995E-4</v>
      </c>
      <c r="G30" s="73">
        <v>135252</v>
      </c>
      <c r="H30" s="73">
        <v>135252</v>
      </c>
      <c r="I30" s="6"/>
    </row>
    <row r="31" spans="1:9" x14ac:dyDescent="0.25">
      <c r="A31" s="7" t="s">
        <v>466</v>
      </c>
      <c r="B31" s="7" t="s">
        <v>171</v>
      </c>
      <c r="C31" s="7">
        <v>21</v>
      </c>
      <c r="D31" s="7" t="s">
        <v>728</v>
      </c>
      <c r="E31" s="71">
        <v>19890</v>
      </c>
      <c r="F31" s="72">
        <v>1E-4</v>
      </c>
      <c r="G31" s="71">
        <v>19890</v>
      </c>
      <c r="H31" s="71">
        <v>19890</v>
      </c>
      <c r="I31" s="7"/>
    </row>
    <row r="32" spans="1:9" x14ac:dyDescent="0.25">
      <c r="A32" s="75" t="s">
        <v>361</v>
      </c>
      <c r="B32" s="75" t="s">
        <v>47</v>
      </c>
      <c r="C32" s="75">
        <v>31</v>
      </c>
      <c r="D32" s="75" t="s">
        <v>725</v>
      </c>
      <c r="E32" s="76">
        <v>23333333</v>
      </c>
      <c r="F32" s="75"/>
      <c r="G32" s="76">
        <v>25000000</v>
      </c>
      <c r="H32" s="76">
        <v>25000000</v>
      </c>
      <c r="I32" s="75">
        <v>2028</v>
      </c>
    </row>
    <row r="33" spans="1:9" x14ac:dyDescent="0.25">
      <c r="A33" s="75" t="s">
        <v>445</v>
      </c>
      <c r="B33" s="75" t="s">
        <v>171</v>
      </c>
      <c r="C33" s="75">
        <v>28</v>
      </c>
      <c r="D33" s="75" t="s">
        <v>728</v>
      </c>
      <c r="E33" s="76">
        <v>746600</v>
      </c>
      <c r="F33" s="75"/>
      <c r="G33" s="76">
        <v>746600</v>
      </c>
      <c r="H33" s="76">
        <v>746600</v>
      </c>
      <c r="I33" s="75"/>
    </row>
    <row r="34" spans="1:9" x14ac:dyDescent="0.25">
      <c r="A34" s="75" t="s">
        <v>477</v>
      </c>
      <c r="B34" s="75" t="s">
        <v>132</v>
      </c>
      <c r="C34" s="75">
        <v>26</v>
      </c>
      <c r="D34" s="75" t="s">
        <v>728</v>
      </c>
      <c r="E34" s="76">
        <v>743600</v>
      </c>
      <c r="F34" s="75"/>
      <c r="G34" s="76">
        <v>743600</v>
      </c>
      <c r="H34" s="76">
        <v>743600</v>
      </c>
      <c r="I34" s="75"/>
    </row>
    <row r="35" spans="1:9" x14ac:dyDescent="0.25">
      <c r="A35" s="77" t="s">
        <v>476</v>
      </c>
      <c r="B35" s="77" t="s">
        <v>171</v>
      </c>
      <c r="C35" s="77">
        <v>25</v>
      </c>
      <c r="D35" s="77" t="s">
        <v>728</v>
      </c>
      <c r="E35" s="78">
        <v>186966</v>
      </c>
      <c r="F35" s="77"/>
      <c r="G35" s="78">
        <v>186966</v>
      </c>
      <c r="H35" s="78">
        <v>186966</v>
      </c>
      <c r="I35" s="77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7BD97D-6F0B-4B7D-A03E-8EA1171D8BF9}">
  <sheetPr codeName="Sheet10"/>
  <dimension ref="A1:AK25"/>
  <sheetViews>
    <sheetView topLeftCell="AG1" workbookViewId="0">
      <selection activeCell="AM12" sqref="AM12"/>
    </sheetView>
  </sheetViews>
  <sheetFormatPr defaultRowHeight="15" x14ac:dyDescent="0.25"/>
  <cols>
    <col min="1" max="1" width="5.28515625" bestFit="1" customWidth="1"/>
    <col min="2" max="2" width="17.42578125" bestFit="1" customWidth="1"/>
    <col min="3" max="4" width="6.140625" bestFit="1" customWidth="1"/>
    <col min="5" max="5" width="7" bestFit="1" customWidth="1"/>
    <col min="6" max="6" width="4.42578125" bestFit="1" customWidth="1"/>
    <col min="7" max="8" width="5.28515625" bestFit="1" customWidth="1"/>
    <col min="9" max="9" width="4.28515625" bestFit="1" customWidth="1"/>
    <col min="10" max="10" width="4.42578125" bestFit="1" customWidth="1"/>
    <col min="11" max="12" width="5.140625" bestFit="1" customWidth="1"/>
    <col min="13" max="13" width="5.5703125" bestFit="1" customWidth="1"/>
    <col min="14" max="14" width="5.85546875" bestFit="1" customWidth="1"/>
    <col min="15" max="15" width="5.28515625" bestFit="1" customWidth="1"/>
    <col min="16" max="16" width="5.42578125" bestFit="1" customWidth="1"/>
    <col min="17" max="17" width="5.28515625" bestFit="1" customWidth="1"/>
    <col min="18" max="18" width="5.42578125" bestFit="1" customWidth="1"/>
    <col min="19" max="19" width="5.85546875" bestFit="1" customWidth="1"/>
    <col min="20" max="20" width="6.5703125" bestFit="1" customWidth="1"/>
    <col min="21" max="21" width="6.42578125" bestFit="1" customWidth="1"/>
    <col min="22" max="22" width="6.5703125" bestFit="1" customWidth="1"/>
    <col min="23" max="23" width="7.5703125" bestFit="1" customWidth="1"/>
    <col min="24" max="24" width="7.140625" bestFit="1" customWidth="1"/>
    <col min="25" max="25" width="8" bestFit="1" customWidth="1"/>
    <col min="26" max="26" width="5.140625" bestFit="1" customWidth="1"/>
    <col min="27" max="27" width="7.28515625" bestFit="1" customWidth="1"/>
    <col min="28" max="28" width="6.5703125" bestFit="1" customWidth="1"/>
    <col min="29" max="29" width="5.42578125" bestFit="1" customWidth="1"/>
    <col min="30" max="30" width="5.140625" bestFit="1" customWidth="1"/>
    <col min="31" max="31" width="5.85546875" bestFit="1" customWidth="1"/>
    <col min="32" max="32" width="10.7109375" bestFit="1" customWidth="1"/>
    <col min="33" max="33" width="12.7109375" bestFit="1" customWidth="1"/>
    <col min="34" max="34" width="17.5703125" bestFit="1" customWidth="1"/>
    <col min="35" max="35" width="24" bestFit="1" customWidth="1"/>
    <col min="37" max="37" width="14" style="1" bestFit="1" customWidth="1"/>
  </cols>
  <sheetData>
    <row r="1" spans="1:37" x14ac:dyDescent="0.25">
      <c r="A1" s="64" t="s">
        <v>0</v>
      </c>
      <c r="B1" s="64" t="s">
        <v>1</v>
      </c>
      <c r="C1" s="64" t="s">
        <v>2</v>
      </c>
      <c r="D1" s="64" t="s">
        <v>3</v>
      </c>
      <c r="E1" s="64" t="s">
        <v>4</v>
      </c>
      <c r="F1" s="64" t="s">
        <v>5</v>
      </c>
      <c r="G1" s="64" t="s">
        <v>6</v>
      </c>
      <c r="H1" s="64" t="s">
        <v>7</v>
      </c>
      <c r="I1" s="64" t="s">
        <v>8</v>
      </c>
      <c r="J1" s="64" t="s">
        <v>9</v>
      </c>
      <c r="K1" s="64" t="s">
        <v>10</v>
      </c>
      <c r="L1" s="64" t="s">
        <v>11</v>
      </c>
      <c r="M1" s="64" t="s">
        <v>12</v>
      </c>
      <c r="N1" s="64" t="s">
        <v>13</v>
      </c>
      <c r="O1" s="64" t="s">
        <v>14</v>
      </c>
      <c r="P1" s="64" t="s">
        <v>15</v>
      </c>
      <c r="Q1" s="64" t="s">
        <v>16</v>
      </c>
      <c r="R1" s="64" t="s">
        <v>17</v>
      </c>
      <c r="S1" s="64" t="s">
        <v>18</v>
      </c>
      <c r="T1" s="64" t="s">
        <v>19</v>
      </c>
      <c r="U1" s="64" t="s">
        <v>20</v>
      </c>
      <c r="V1" s="64" t="s">
        <v>21</v>
      </c>
      <c r="W1" s="64" t="s">
        <v>22</v>
      </c>
      <c r="X1" s="64" t="s">
        <v>23</v>
      </c>
      <c r="Y1" s="64" t="s">
        <v>24</v>
      </c>
      <c r="Z1" s="64" t="s">
        <v>25</v>
      </c>
      <c r="AA1" s="64" t="s">
        <v>26</v>
      </c>
      <c r="AB1" s="64" t="s">
        <v>27</v>
      </c>
      <c r="AC1" s="64" t="s">
        <v>28</v>
      </c>
      <c r="AD1" s="64" t="s">
        <v>29</v>
      </c>
      <c r="AE1" s="64" t="s">
        <v>30</v>
      </c>
      <c r="AF1" s="64" t="s">
        <v>31</v>
      </c>
      <c r="AG1" s="64" t="s">
        <v>32</v>
      </c>
      <c r="AH1" s="64" t="s">
        <v>33</v>
      </c>
      <c r="AI1" s="64" t="s">
        <v>836</v>
      </c>
      <c r="AJ1" s="64" t="s">
        <v>817</v>
      </c>
      <c r="AK1" s="66" t="s">
        <v>840</v>
      </c>
    </row>
    <row r="2" spans="1:37" x14ac:dyDescent="0.25">
      <c r="A2" s="65">
        <v>1</v>
      </c>
      <c r="B2" s="65" t="s">
        <v>478</v>
      </c>
      <c r="C2" s="65">
        <v>34</v>
      </c>
      <c r="D2" s="65" t="s">
        <v>35</v>
      </c>
      <c r="E2" s="65">
        <v>2.5</v>
      </c>
      <c r="F2" s="65">
        <v>158</v>
      </c>
      <c r="G2" s="65">
        <v>652</v>
      </c>
      <c r="H2" s="65">
        <v>590</v>
      </c>
      <c r="I2" s="65">
        <v>58</v>
      </c>
      <c r="J2" s="65">
        <v>160</v>
      </c>
      <c r="K2" s="65">
        <v>28</v>
      </c>
      <c r="L2" s="65">
        <v>0</v>
      </c>
      <c r="M2" s="65">
        <v>27</v>
      </c>
      <c r="N2" s="65">
        <v>104</v>
      </c>
      <c r="O2" s="65">
        <v>0</v>
      </c>
      <c r="P2" s="65">
        <v>0</v>
      </c>
      <c r="Q2" s="65">
        <v>44</v>
      </c>
      <c r="R2" s="65">
        <v>129</v>
      </c>
      <c r="S2" s="65">
        <v>0.27100000000000002</v>
      </c>
      <c r="T2" s="65">
        <v>0.33</v>
      </c>
      <c r="U2" s="65">
        <v>0.45600000000000002</v>
      </c>
      <c r="V2" s="65">
        <v>0.78600000000000003</v>
      </c>
      <c r="W2" s="65">
        <v>119</v>
      </c>
      <c r="X2" s="65">
        <v>0.33900000000000002</v>
      </c>
      <c r="Y2" s="65">
        <v>116</v>
      </c>
      <c r="Z2" s="65">
        <v>269</v>
      </c>
      <c r="AA2" s="65">
        <v>17</v>
      </c>
      <c r="AB2" s="65">
        <v>11</v>
      </c>
      <c r="AC2" s="65">
        <v>0</v>
      </c>
      <c r="AD2" s="65">
        <v>6</v>
      </c>
      <c r="AE2" s="65">
        <v>9</v>
      </c>
      <c r="AF2" s="65" t="s">
        <v>479</v>
      </c>
      <c r="AG2" s="65" t="s">
        <v>480</v>
      </c>
      <c r="AH2" s="65" t="s">
        <v>481</v>
      </c>
      <c r="AI2" s="65" t="s">
        <v>837</v>
      </c>
      <c r="AJ2" s="65" t="s">
        <v>823</v>
      </c>
      <c r="AK2" s="67">
        <f>IFERROR(VLOOKUP(B2,'KC Salary 2024'!A1:I36,7,FALSE), "No salary data")</f>
        <v>20000000</v>
      </c>
    </row>
    <row r="3" spans="1:37" x14ac:dyDescent="0.25">
      <c r="A3" s="10">
        <v>2</v>
      </c>
      <c r="B3" s="10" t="s">
        <v>482</v>
      </c>
      <c r="C3" s="10">
        <v>26</v>
      </c>
      <c r="D3" s="10" t="s">
        <v>40</v>
      </c>
      <c r="E3" s="10">
        <v>1.1000000000000001</v>
      </c>
      <c r="F3" s="10">
        <v>131</v>
      </c>
      <c r="G3" s="10">
        <v>554</v>
      </c>
      <c r="H3" s="10">
        <v>496</v>
      </c>
      <c r="I3" s="10">
        <v>64</v>
      </c>
      <c r="J3" s="10">
        <v>130</v>
      </c>
      <c r="K3" s="10">
        <v>30</v>
      </c>
      <c r="L3" s="10">
        <v>2</v>
      </c>
      <c r="M3" s="10">
        <v>19</v>
      </c>
      <c r="N3" s="10">
        <v>97</v>
      </c>
      <c r="O3" s="10">
        <v>1</v>
      </c>
      <c r="P3" s="10">
        <v>0</v>
      </c>
      <c r="Q3" s="10">
        <v>40</v>
      </c>
      <c r="R3" s="10">
        <v>71</v>
      </c>
      <c r="S3" s="10">
        <v>0.26200000000000001</v>
      </c>
      <c r="T3" s="10">
        <v>0.315</v>
      </c>
      <c r="U3" s="10">
        <v>0.44600000000000001</v>
      </c>
      <c r="V3" s="10">
        <v>0.76</v>
      </c>
      <c r="W3" s="10">
        <v>111</v>
      </c>
      <c r="X3" s="10">
        <v>0.32800000000000001</v>
      </c>
      <c r="Y3" s="10">
        <v>108</v>
      </c>
      <c r="Z3" s="10">
        <v>221</v>
      </c>
      <c r="AA3" s="10">
        <v>12</v>
      </c>
      <c r="AB3" s="10">
        <v>4</v>
      </c>
      <c r="AC3" s="10">
        <v>1</v>
      </c>
      <c r="AD3" s="10">
        <v>13</v>
      </c>
      <c r="AE3" s="10">
        <v>1</v>
      </c>
      <c r="AF3" s="10" t="s">
        <v>483</v>
      </c>
      <c r="AG3" s="10" t="s">
        <v>37</v>
      </c>
      <c r="AH3" s="10" t="s">
        <v>484</v>
      </c>
      <c r="AI3" s="10" t="s">
        <v>837</v>
      </c>
      <c r="AJ3" s="10" t="s">
        <v>823</v>
      </c>
      <c r="AK3" s="67">
        <f>IFERROR(VLOOKUP(B3,'KC Salary 2024'!A2:I37,7,FALSE), "No salary data")</f>
        <v>752750</v>
      </c>
    </row>
    <row r="4" spans="1:37" x14ac:dyDescent="0.25">
      <c r="A4" s="9">
        <v>3</v>
      </c>
      <c r="B4" s="9" t="s">
        <v>485</v>
      </c>
      <c r="C4" s="9">
        <v>26</v>
      </c>
      <c r="D4" s="9" t="s">
        <v>10</v>
      </c>
      <c r="E4" s="9">
        <v>1.6</v>
      </c>
      <c r="F4" s="9">
        <v>100</v>
      </c>
      <c r="G4" s="9">
        <v>356</v>
      </c>
      <c r="H4" s="9">
        <v>332</v>
      </c>
      <c r="I4" s="9">
        <v>45</v>
      </c>
      <c r="J4" s="9">
        <v>86</v>
      </c>
      <c r="K4" s="9">
        <v>17</v>
      </c>
      <c r="L4" s="9">
        <v>2</v>
      </c>
      <c r="M4" s="9">
        <v>14</v>
      </c>
      <c r="N4" s="9">
        <v>45</v>
      </c>
      <c r="O4" s="9">
        <v>1</v>
      </c>
      <c r="P4" s="9">
        <v>0</v>
      </c>
      <c r="Q4" s="9">
        <v>15</v>
      </c>
      <c r="R4" s="9">
        <v>56</v>
      </c>
      <c r="S4" s="9">
        <v>0.25900000000000001</v>
      </c>
      <c r="T4" s="9">
        <v>0.29399999999999998</v>
      </c>
      <c r="U4" s="9">
        <v>0.44900000000000001</v>
      </c>
      <c r="V4" s="9">
        <v>0.74299999999999999</v>
      </c>
      <c r="W4" s="9">
        <v>105</v>
      </c>
      <c r="X4" s="9">
        <v>0.32800000000000001</v>
      </c>
      <c r="Y4" s="9">
        <v>108</v>
      </c>
      <c r="Z4" s="9">
        <v>149</v>
      </c>
      <c r="AA4" s="9">
        <v>9</v>
      </c>
      <c r="AB4" s="9">
        <v>3</v>
      </c>
      <c r="AC4" s="9">
        <v>2</v>
      </c>
      <c r="AD4" s="9">
        <v>4</v>
      </c>
      <c r="AE4" s="9">
        <v>1</v>
      </c>
      <c r="AF4" s="9" t="s">
        <v>486</v>
      </c>
      <c r="AG4" s="9" t="s">
        <v>37</v>
      </c>
      <c r="AH4" s="9" t="s">
        <v>487</v>
      </c>
      <c r="AI4" s="9" t="s">
        <v>837</v>
      </c>
      <c r="AJ4" s="9" t="s">
        <v>823</v>
      </c>
      <c r="AK4" s="67">
        <f>IFERROR(VLOOKUP(B4,'KC Salary 2024'!A3:I38,7,FALSE), "No salary data")</f>
        <v>757000</v>
      </c>
    </row>
    <row r="5" spans="1:37" x14ac:dyDescent="0.25">
      <c r="A5" s="10">
        <v>4</v>
      </c>
      <c r="B5" s="10" t="s">
        <v>488</v>
      </c>
      <c r="C5" s="10">
        <v>24</v>
      </c>
      <c r="D5" s="10" t="s">
        <v>47</v>
      </c>
      <c r="E5" s="10">
        <v>9.4</v>
      </c>
      <c r="F5" s="10">
        <v>161</v>
      </c>
      <c r="G5" s="10">
        <v>709</v>
      </c>
      <c r="H5" s="10">
        <v>636</v>
      </c>
      <c r="I5" s="10">
        <v>125</v>
      </c>
      <c r="J5" s="10">
        <v>211</v>
      </c>
      <c r="K5" s="10">
        <v>45</v>
      </c>
      <c r="L5" s="10">
        <v>11</v>
      </c>
      <c r="M5" s="10">
        <v>32</v>
      </c>
      <c r="N5" s="10">
        <v>109</v>
      </c>
      <c r="O5" s="10">
        <v>31</v>
      </c>
      <c r="P5" s="10">
        <v>12</v>
      </c>
      <c r="Q5" s="10">
        <v>57</v>
      </c>
      <c r="R5" s="10">
        <v>106</v>
      </c>
      <c r="S5" s="10">
        <v>0.33200000000000002</v>
      </c>
      <c r="T5" s="10">
        <v>0.38900000000000001</v>
      </c>
      <c r="U5" s="10">
        <v>0.58799999999999997</v>
      </c>
      <c r="V5" s="10">
        <v>0.97699999999999998</v>
      </c>
      <c r="W5" s="10">
        <v>171</v>
      </c>
      <c r="X5" s="10">
        <v>0.41599999999999998</v>
      </c>
      <c r="Y5" s="10">
        <v>171</v>
      </c>
      <c r="Z5" s="10">
        <v>374</v>
      </c>
      <c r="AA5" s="10">
        <v>4</v>
      </c>
      <c r="AB5" s="10">
        <v>8</v>
      </c>
      <c r="AC5" s="10">
        <v>0</v>
      </c>
      <c r="AD5" s="10">
        <v>8</v>
      </c>
      <c r="AE5" s="10">
        <v>9</v>
      </c>
      <c r="AF5" s="10" t="s">
        <v>489</v>
      </c>
      <c r="AG5" s="10" t="s">
        <v>490</v>
      </c>
      <c r="AH5" s="10" t="s">
        <v>491</v>
      </c>
      <c r="AI5" s="10" t="s">
        <v>837</v>
      </c>
      <c r="AJ5" s="10" t="s">
        <v>823</v>
      </c>
      <c r="AK5" s="52">
        <v>3111111</v>
      </c>
    </row>
    <row r="6" spans="1:37" x14ac:dyDescent="0.25">
      <c r="A6" s="9">
        <v>5</v>
      </c>
      <c r="B6" s="9" t="s">
        <v>492</v>
      </c>
      <c r="C6" s="9">
        <v>24</v>
      </c>
      <c r="D6" s="9" t="s">
        <v>11</v>
      </c>
      <c r="E6" s="9">
        <v>1.2</v>
      </c>
      <c r="F6" s="9">
        <v>157</v>
      </c>
      <c r="G6" s="9">
        <v>626</v>
      </c>
      <c r="H6" s="9">
        <v>575</v>
      </c>
      <c r="I6" s="9">
        <v>84</v>
      </c>
      <c r="J6" s="9">
        <v>133</v>
      </c>
      <c r="K6" s="9">
        <v>27</v>
      </c>
      <c r="L6" s="9">
        <v>5</v>
      </c>
      <c r="M6" s="9">
        <v>7</v>
      </c>
      <c r="N6" s="9">
        <v>58</v>
      </c>
      <c r="O6" s="9">
        <v>37</v>
      </c>
      <c r="P6" s="9">
        <v>2</v>
      </c>
      <c r="Q6" s="9">
        <v>42</v>
      </c>
      <c r="R6" s="9">
        <v>103</v>
      </c>
      <c r="S6" s="9">
        <v>0.23100000000000001</v>
      </c>
      <c r="T6" s="9">
        <v>0.28100000000000003</v>
      </c>
      <c r="U6" s="9">
        <v>0.33200000000000002</v>
      </c>
      <c r="V6" s="9">
        <v>0.61399999999999999</v>
      </c>
      <c r="W6" s="9">
        <v>72</v>
      </c>
      <c r="X6" s="9">
        <v>0.28699999999999998</v>
      </c>
      <c r="Y6" s="9">
        <v>69</v>
      </c>
      <c r="Z6" s="9">
        <v>191</v>
      </c>
      <c r="AA6" s="9">
        <v>7</v>
      </c>
      <c r="AB6" s="9">
        <v>0</v>
      </c>
      <c r="AC6" s="9">
        <v>4</v>
      </c>
      <c r="AD6" s="9">
        <v>5</v>
      </c>
      <c r="AE6" s="9">
        <v>0</v>
      </c>
      <c r="AF6" s="9" t="s">
        <v>493</v>
      </c>
      <c r="AG6" s="9" t="s">
        <v>37</v>
      </c>
      <c r="AH6" s="9" t="s">
        <v>494</v>
      </c>
      <c r="AI6" s="9" t="s">
        <v>837</v>
      </c>
      <c r="AJ6" s="9" t="s">
        <v>823</v>
      </c>
      <c r="AK6" s="67">
        <f>IFERROR(VLOOKUP(B6,'KC Salary 2024'!A5:I40,7,FALSE), "No salary data")</f>
        <v>751250</v>
      </c>
    </row>
    <row r="7" spans="1:37" x14ac:dyDescent="0.25">
      <c r="A7" s="10">
        <v>6</v>
      </c>
      <c r="B7" s="10" t="s">
        <v>495</v>
      </c>
      <c r="C7" s="10">
        <v>25</v>
      </c>
      <c r="D7" s="10" t="s">
        <v>54</v>
      </c>
      <c r="E7" s="10">
        <v>-0.9</v>
      </c>
      <c r="F7" s="10">
        <v>135</v>
      </c>
      <c r="G7" s="10">
        <v>451</v>
      </c>
      <c r="H7" s="10">
        <v>412</v>
      </c>
      <c r="I7" s="10">
        <v>44</v>
      </c>
      <c r="J7" s="10">
        <v>85</v>
      </c>
      <c r="K7" s="10">
        <v>23</v>
      </c>
      <c r="L7" s="10">
        <v>3</v>
      </c>
      <c r="M7" s="10">
        <v>17</v>
      </c>
      <c r="N7" s="10">
        <v>44</v>
      </c>
      <c r="O7" s="10">
        <v>4</v>
      </c>
      <c r="P7" s="10">
        <v>4</v>
      </c>
      <c r="Q7" s="10">
        <v>35</v>
      </c>
      <c r="R7" s="10">
        <v>113</v>
      </c>
      <c r="S7" s="10">
        <v>0.20599999999999999</v>
      </c>
      <c r="T7" s="10">
        <v>0.27300000000000002</v>
      </c>
      <c r="U7" s="10">
        <v>0.4</v>
      </c>
      <c r="V7" s="10">
        <v>0.67400000000000004</v>
      </c>
      <c r="W7" s="10">
        <v>87</v>
      </c>
      <c r="X7" s="10">
        <v>0.28999999999999998</v>
      </c>
      <c r="Y7" s="10">
        <v>83</v>
      </c>
      <c r="Z7" s="10">
        <v>165</v>
      </c>
      <c r="AA7" s="10">
        <v>3</v>
      </c>
      <c r="AB7" s="10">
        <v>3</v>
      </c>
      <c r="AC7" s="10">
        <v>0</v>
      </c>
      <c r="AD7" s="10">
        <v>0</v>
      </c>
      <c r="AE7" s="10">
        <v>1</v>
      </c>
      <c r="AF7" s="10" t="s">
        <v>496</v>
      </c>
      <c r="AG7" s="10" t="s">
        <v>37</v>
      </c>
      <c r="AH7" s="10" t="s">
        <v>497</v>
      </c>
      <c r="AI7" s="10" t="s">
        <v>837</v>
      </c>
      <c r="AJ7" s="10" t="s">
        <v>823</v>
      </c>
      <c r="AK7" s="67">
        <f>IFERROR(VLOOKUP(B7,'KC Salary 2024'!A6:I41,7,FALSE), "No salary data")</f>
        <v>754750</v>
      </c>
    </row>
    <row r="8" spans="1:37" x14ac:dyDescent="0.25">
      <c r="A8" s="9">
        <v>7</v>
      </c>
      <c r="B8" s="9" t="s">
        <v>498</v>
      </c>
      <c r="C8" s="9">
        <v>27</v>
      </c>
      <c r="D8" s="9" t="s">
        <v>58</v>
      </c>
      <c r="E8" s="9">
        <v>1.8</v>
      </c>
      <c r="F8" s="9">
        <v>136</v>
      </c>
      <c r="G8" s="9">
        <v>426</v>
      </c>
      <c r="H8" s="9">
        <v>384</v>
      </c>
      <c r="I8" s="9">
        <v>62</v>
      </c>
      <c r="J8" s="9">
        <v>88</v>
      </c>
      <c r="K8" s="9">
        <v>13</v>
      </c>
      <c r="L8" s="9">
        <v>8</v>
      </c>
      <c r="M8" s="9">
        <v>8</v>
      </c>
      <c r="N8" s="9">
        <v>42</v>
      </c>
      <c r="O8" s="9">
        <v>11</v>
      </c>
      <c r="P8" s="9">
        <v>2</v>
      </c>
      <c r="Q8" s="9">
        <v>27</v>
      </c>
      <c r="R8" s="9">
        <v>88</v>
      </c>
      <c r="S8" s="9">
        <v>0.22900000000000001</v>
      </c>
      <c r="T8" s="9">
        <v>0.28699999999999998</v>
      </c>
      <c r="U8" s="9">
        <v>0.36699999999999999</v>
      </c>
      <c r="V8" s="9">
        <v>0.65400000000000003</v>
      </c>
      <c r="W8" s="9">
        <v>83</v>
      </c>
      <c r="X8" s="9">
        <v>0.29599999999999999</v>
      </c>
      <c r="Y8" s="9">
        <v>82</v>
      </c>
      <c r="Z8" s="9">
        <v>141</v>
      </c>
      <c r="AA8" s="9">
        <v>4</v>
      </c>
      <c r="AB8" s="9">
        <v>5</v>
      </c>
      <c r="AC8" s="9">
        <v>8</v>
      </c>
      <c r="AD8" s="9">
        <v>2</v>
      </c>
      <c r="AE8" s="9">
        <v>0</v>
      </c>
      <c r="AF8" s="9" t="s">
        <v>499</v>
      </c>
      <c r="AG8" s="9" t="s">
        <v>37</v>
      </c>
      <c r="AH8" s="9" t="s">
        <v>500</v>
      </c>
      <c r="AI8" s="9" t="s">
        <v>837</v>
      </c>
      <c r="AJ8" s="9" t="s">
        <v>823</v>
      </c>
      <c r="AK8" s="67">
        <f>IFERROR(VLOOKUP(B8,'KC Salary 2024'!A7:I42,7,FALSE), "No salary data")</f>
        <v>758250</v>
      </c>
    </row>
    <row r="9" spans="1:37" x14ac:dyDescent="0.25">
      <c r="A9" s="10">
        <v>8</v>
      </c>
      <c r="B9" s="10" t="s">
        <v>501</v>
      </c>
      <c r="C9" s="10">
        <v>32</v>
      </c>
      <c r="D9" s="10" t="s">
        <v>62</v>
      </c>
      <c r="E9" s="10">
        <v>0</v>
      </c>
      <c r="F9" s="10">
        <v>120</v>
      </c>
      <c r="G9" s="10">
        <v>424</v>
      </c>
      <c r="H9" s="10">
        <v>385</v>
      </c>
      <c r="I9" s="10">
        <v>44</v>
      </c>
      <c r="J9" s="10">
        <v>88</v>
      </c>
      <c r="K9" s="10">
        <v>18</v>
      </c>
      <c r="L9" s="10">
        <v>0</v>
      </c>
      <c r="M9" s="10">
        <v>15</v>
      </c>
      <c r="N9" s="10">
        <v>52</v>
      </c>
      <c r="O9" s="10">
        <v>1</v>
      </c>
      <c r="P9" s="10">
        <v>1</v>
      </c>
      <c r="Q9" s="10">
        <v>36</v>
      </c>
      <c r="R9" s="10">
        <v>84</v>
      </c>
      <c r="S9" s="10">
        <v>0.22900000000000001</v>
      </c>
      <c r="T9" s="10">
        <v>0.29699999999999999</v>
      </c>
      <c r="U9" s="10">
        <v>0.39200000000000002</v>
      </c>
      <c r="V9" s="10">
        <v>0.68899999999999995</v>
      </c>
      <c r="W9" s="10">
        <v>92</v>
      </c>
      <c r="X9" s="10">
        <v>0.308</v>
      </c>
      <c r="Y9" s="10">
        <v>94</v>
      </c>
      <c r="Z9" s="10">
        <v>151</v>
      </c>
      <c r="AA9" s="10">
        <v>10</v>
      </c>
      <c r="AB9" s="10">
        <v>2</v>
      </c>
      <c r="AC9" s="10">
        <v>0</v>
      </c>
      <c r="AD9" s="10">
        <v>1</v>
      </c>
      <c r="AE9" s="10">
        <v>0</v>
      </c>
      <c r="AF9" s="10" t="s">
        <v>502</v>
      </c>
      <c r="AG9" s="10" t="s">
        <v>37</v>
      </c>
      <c r="AH9" s="10" t="s">
        <v>503</v>
      </c>
      <c r="AI9" s="10" t="s">
        <v>837</v>
      </c>
      <c r="AJ9" s="10" t="s">
        <v>823</v>
      </c>
      <c r="AK9" s="67" t="str">
        <f>IFERROR(VLOOKUP(B9,'KC Salary 2024'!A8:I43,7,FALSE), "No salary data")</f>
        <v>No salary data</v>
      </c>
    </row>
    <row r="10" spans="1:37" x14ac:dyDescent="0.25">
      <c r="A10" s="9">
        <v>9</v>
      </c>
      <c r="B10" s="9" t="s">
        <v>504</v>
      </c>
      <c r="C10" s="9">
        <v>25</v>
      </c>
      <c r="D10" s="9" t="s">
        <v>66</v>
      </c>
      <c r="E10" s="9">
        <v>-0.5</v>
      </c>
      <c r="F10" s="9">
        <v>64</v>
      </c>
      <c r="G10" s="9">
        <v>230</v>
      </c>
      <c r="H10" s="9">
        <v>205</v>
      </c>
      <c r="I10" s="9">
        <v>31</v>
      </c>
      <c r="J10" s="9">
        <v>41</v>
      </c>
      <c r="K10" s="9">
        <v>8</v>
      </c>
      <c r="L10" s="9">
        <v>1</v>
      </c>
      <c r="M10" s="9">
        <v>8</v>
      </c>
      <c r="N10" s="9">
        <v>27</v>
      </c>
      <c r="O10" s="9">
        <v>2</v>
      </c>
      <c r="P10" s="9">
        <v>0</v>
      </c>
      <c r="Q10" s="9">
        <v>19</v>
      </c>
      <c r="R10" s="9">
        <v>61</v>
      </c>
      <c r="S10" s="9">
        <v>0.2</v>
      </c>
      <c r="T10" s="9">
        <v>0.27400000000000002</v>
      </c>
      <c r="U10" s="9">
        <v>0.36599999999999999</v>
      </c>
      <c r="V10" s="9">
        <v>0.64</v>
      </c>
      <c r="W10" s="9">
        <v>78</v>
      </c>
      <c r="X10" s="9">
        <v>0.28499999999999998</v>
      </c>
      <c r="Y10" s="9">
        <v>76</v>
      </c>
      <c r="Z10" s="9">
        <v>75</v>
      </c>
      <c r="AA10" s="9">
        <v>6</v>
      </c>
      <c r="AB10" s="9">
        <v>3</v>
      </c>
      <c r="AC10" s="9">
        <v>0</v>
      </c>
      <c r="AD10" s="9">
        <v>3</v>
      </c>
      <c r="AE10" s="9">
        <v>0</v>
      </c>
      <c r="AF10" s="9" t="s">
        <v>505</v>
      </c>
      <c r="AG10" s="9" t="s">
        <v>37</v>
      </c>
      <c r="AH10" s="9" t="s">
        <v>506</v>
      </c>
      <c r="AI10" s="9" t="s">
        <v>837</v>
      </c>
      <c r="AJ10" s="9" t="s">
        <v>823</v>
      </c>
      <c r="AK10" s="67" t="str">
        <f>IFERROR(VLOOKUP(B10,'KC Salary 2024'!A9:I44,7,FALSE), "No salary data")</f>
        <v>No salary data</v>
      </c>
    </row>
    <row r="11" spans="1:37" x14ac:dyDescent="0.25">
      <c r="A11" s="10">
        <v>10</v>
      </c>
      <c r="B11" s="10" t="s">
        <v>507</v>
      </c>
      <c r="C11" s="10">
        <v>29</v>
      </c>
      <c r="D11" s="10" t="s">
        <v>35</v>
      </c>
      <c r="E11" s="10">
        <v>3</v>
      </c>
      <c r="F11" s="10">
        <v>111</v>
      </c>
      <c r="G11" s="10">
        <v>368</v>
      </c>
      <c r="H11" s="10">
        <v>339</v>
      </c>
      <c r="I11" s="10">
        <v>40</v>
      </c>
      <c r="J11" s="10">
        <v>92</v>
      </c>
      <c r="K11" s="10">
        <v>14</v>
      </c>
      <c r="L11" s="10">
        <v>0</v>
      </c>
      <c r="M11" s="10">
        <v>6</v>
      </c>
      <c r="N11" s="10">
        <v>36</v>
      </c>
      <c r="O11" s="10">
        <v>2</v>
      </c>
      <c r="P11" s="10">
        <v>0</v>
      </c>
      <c r="Q11" s="10">
        <v>23</v>
      </c>
      <c r="R11" s="10">
        <v>66</v>
      </c>
      <c r="S11" s="10">
        <v>0.27100000000000002</v>
      </c>
      <c r="T11" s="10">
        <v>0.31900000000000001</v>
      </c>
      <c r="U11" s="10">
        <v>0.36599999999999999</v>
      </c>
      <c r="V11" s="10">
        <v>0.68500000000000005</v>
      </c>
      <c r="W11" s="10">
        <v>93</v>
      </c>
      <c r="X11" s="10">
        <v>0.307</v>
      </c>
      <c r="Y11" s="10">
        <v>92</v>
      </c>
      <c r="Z11" s="10">
        <v>124</v>
      </c>
      <c r="AA11" s="10">
        <v>10</v>
      </c>
      <c r="AB11" s="10">
        <v>2</v>
      </c>
      <c r="AC11" s="10">
        <v>1</v>
      </c>
      <c r="AD11" s="10">
        <v>3</v>
      </c>
      <c r="AE11" s="10">
        <v>1</v>
      </c>
      <c r="AF11" s="10" t="s">
        <v>508</v>
      </c>
      <c r="AG11" s="10" t="s">
        <v>37</v>
      </c>
      <c r="AH11" s="10" t="s">
        <v>509</v>
      </c>
      <c r="AI11" s="10" t="s">
        <v>837</v>
      </c>
      <c r="AJ11" s="10" t="s">
        <v>823</v>
      </c>
      <c r="AK11" s="67" t="str">
        <f>IFERROR(VLOOKUP(B11,'KC Salary 2024'!A10:I45,7,FALSE), "No salary data")</f>
        <v>No salary data</v>
      </c>
    </row>
    <row r="12" spans="1:37" x14ac:dyDescent="0.25">
      <c r="A12" s="9">
        <v>11</v>
      </c>
      <c r="B12" s="9" t="s">
        <v>510</v>
      </c>
      <c r="C12" s="9">
        <v>32</v>
      </c>
      <c r="D12" s="9" t="s">
        <v>70</v>
      </c>
      <c r="E12" s="9">
        <v>0.3</v>
      </c>
      <c r="F12" s="9">
        <v>104</v>
      </c>
      <c r="G12" s="9">
        <v>294</v>
      </c>
      <c r="H12" s="9">
        <v>262</v>
      </c>
      <c r="I12" s="9">
        <v>35</v>
      </c>
      <c r="J12" s="9">
        <v>53</v>
      </c>
      <c r="K12" s="9">
        <v>10</v>
      </c>
      <c r="L12" s="9">
        <v>1</v>
      </c>
      <c r="M12" s="9">
        <v>4</v>
      </c>
      <c r="N12" s="9">
        <v>22</v>
      </c>
      <c r="O12" s="9">
        <v>3</v>
      </c>
      <c r="P12" s="9">
        <v>0</v>
      </c>
      <c r="Q12" s="9">
        <v>22</v>
      </c>
      <c r="R12" s="9">
        <v>59</v>
      </c>
      <c r="S12" s="9">
        <v>0.20200000000000001</v>
      </c>
      <c r="T12" s="9">
        <v>0.28199999999999997</v>
      </c>
      <c r="U12" s="9">
        <v>0.29399999999999998</v>
      </c>
      <c r="V12" s="9">
        <v>0.57599999999999996</v>
      </c>
      <c r="W12" s="9">
        <v>63</v>
      </c>
      <c r="X12" s="9">
        <v>0.26900000000000002</v>
      </c>
      <c r="Y12" s="9">
        <v>64</v>
      </c>
      <c r="Z12" s="9">
        <v>77</v>
      </c>
      <c r="AA12" s="9">
        <v>0</v>
      </c>
      <c r="AB12" s="9">
        <v>7</v>
      </c>
      <c r="AC12" s="9">
        <v>3</v>
      </c>
      <c r="AD12" s="9">
        <v>0</v>
      </c>
      <c r="AE12" s="9">
        <v>0</v>
      </c>
      <c r="AF12" s="9" t="s">
        <v>511</v>
      </c>
      <c r="AG12" s="9" t="s">
        <v>37</v>
      </c>
      <c r="AH12" s="9" t="s">
        <v>512</v>
      </c>
      <c r="AI12" s="9" t="s">
        <v>837</v>
      </c>
      <c r="AJ12" s="9" t="s">
        <v>823</v>
      </c>
      <c r="AK12" s="67" t="str">
        <f>IFERROR(VLOOKUP(B12,'KC Salary 2024'!A11:I46,7,FALSE), "No salary data")</f>
        <v>No salary data</v>
      </c>
    </row>
    <row r="13" spans="1:37" x14ac:dyDescent="0.25">
      <c r="A13" s="10">
        <v>12</v>
      </c>
      <c r="B13" s="10" t="s">
        <v>513</v>
      </c>
      <c r="C13" s="10">
        <v>29</v>
      </c>
      <c r="D13" s="10" t="s">
        <v>58</v>
      </c>
      <c r="E13" s="10">
        <v>0.4</v>
      </c>
      <c r="F13" s="10">
        <v>113</v>
      </c>
      <c r="G13" s="10">
        <v>231</v>
      </c>
      <c r="H13" s="10">
        <v>213</v>
      </c>
      <c r="I13" s="10">
        <v>16</v>
      </c>
      <c r="J13" s="10">
        <v>49</v>
      </c>
      <c r="K13" s="10">
        <v>13</v>
      </c>
      <c r="L13" s="10">
        <v>1</v>
      </c>
      <c r="M13" s="10">
        <v>0</v>
      </c>
      <c r="N13" s="10">
        <v>16</v>
      </c>
      <c r="O13" s="10">
        <v>7</v>
      </c>
      <c r="P13" s="10">
        <v>2</v>
      </c>
      <c r="Q13" s="10">
        <v>14</v>
      </c>
      <c r="R13" s="10">
        <v>59</v>
      </c>
      <c r="S13" s="10">
        <v>0.23</v>
      </c>
      <c r="T13" s="10">
        <v>0.27500000000000002</v>
      </c>
      <c r="U13" s="10">
        <v>0.3</v>
      </c>
      <c r="V13" s="10">
        <v>0.57599999999999996</v>
      </c>
      <c r="W13" s="10">
        <v>63</v>
      </c>
      <c r="X13" s="10">
        <v>0.25900000000000001</v>
      </c>
      <c r="Y13" s="10">
        <v>56</v>
      </c>
      <c r="Z13" s="10">
        <v>64</v>
      </c>
      <c r="AA13" s="10">
        <v>3</v>
      </c>
      <c r="AB13" s="10">
        <v>0</v>
      </c>
      <c r="AC13" s="10">
        <v>2</v>
      </c>
      <c r="AD13" s="10">
        <v>2</v>
      </c>
      <c r="AE13" s="10">
        <v>0</v>
      </c>
      <c r="AF13" s="10" t="s">
        <v>514</v>
      </c>
      <c r="AG13" s="10" t="s">
        <v>37</v>
      </c>
      <c r="AH13" s="10" t="s">
        <v>515</v>
      </c>
      <c r="AI13" s="10" t="s">
        <v>837</v>
      </c>
      <c r="AJ13" s="10" t="s">
        <v>823</v>
      </c>
      <c r="AK13" s="67" t="str">
        <f>IFERROR(VLOOKUP(B13,'KC Salary 2024'!A12:I47,7,FALSE), "No salary data")</f>
        <v>No salary data</v>
      </c>
    </row>
    <row r="14" spans="1:37" x14ac:dyDescent="0.25">
      <c r="A14" s="9">
        <v>13</v>
      </c>
      <c r="B14" s="9" t="s">
        <v>516</v>
      </c>
      <c r="C14" s="9">
        <v>25</v>
      </c>
      <c r="D14" s="9" t="s">
        <v>108</v>
      </c>
      <c r="E14" s="9">
        <v>0.2</v>
      </c>
      <c r="F14" s="9">
        <v>56</v>
      </c>
      <c r="G14" s="9">
        <v>171</v>
      </c>
      <c r="H14" s="9">
        <v>148</v>
      </c>
      <c r="I14" s="9">
        <v>15</v>
      </c>
      <c r="J14" s="9">
        <v>28</v>
      </c>
      <c r="K14" s="9">
        <v>4</v>
      </c>
      <c r="L14" s="9">
        <v>0</v>
      </c>
      <c r="M14" s="9">
        <v>1</v>
      </c>
      <c r="N14" s="9">
        <v>14</v>
      </c>
      <c r="O14" s="9">
        <v>1</v>
      </c>
      <c r="P14" s="9">
        <v>0</v>
      </c>
      <c r="Q14" s="9">
        <v>19</v>
      </c>
      <c r="R14" s="9">
        <v>24</v>
      </c>
      <c r="S14" s="9">
        <v>0.189</v>
      </c>
      <c r="T14" s="9">
        <v>0.28199999999999997</v>
      </c>
      <c r="U14" s="9">
        <v>0.23599999999999999</v>
      </c>
      <c r="V14" s="9">
        <v>0.51900000000000002</v>
      </c>
      <c r="W14" s="9">
        <v>49</v>
      </c>
      <c r="X14" s="9">
        <v>0.25800000000000001</v>
      </c>
      <c r="Y14" s="9">
        <v>56</v>
      </c>
      <c r="Z14" s="9">
        <v>35</v>
      </c>
      <c r="AA14" s="9">
        <v>4</v>
      </c>
      <c r="AB14" s="9">
        <v>1</v>
      </c>
      <c r="AC14" s="9">
        <v>1</v>
      </c>
      <c r="AD14" s="9">
        <v>2</v>
      </c>
      <c r="AE14" s="9">
        <v>0</v>
      </c>
      <c r="AF14" s="9" t="s">
        <v>517</v>
      </c>
      <c r="AG14" s="9" t="s">
        <v>37</v>
      </c>
      <c r="AH14" s="9" t="s">
        <v>518</v>
      </c>
      <c r="AI14" s="9" t="s">
        <v>837</v>
      </c>
      <c r="AJ14" s="9" t="s">
        <v>823</v>
      </c>
      <c r="AK14" s="67" t="str">
        <f>IFERROR(VLOOKUP(B14,'KC Salary 2024'!A13:I48,7,FALSE), "No salary data")</f>
        <v>No salary data</v>
      </c>
    </row>
    <row r="15" spans="1:37" x14ac:dyDescent="0.25">
      <c r="A15" s="10">
        <v>14</v>
      </c>
      <c r="B15" s="10" t="s">
        <v>519</v>
      </c>
      <c r="C15" s="10">
        <v>31</v>
      </c>
      <c r="D15" s="10" t="s">
        <v>54</v>
      </c>
      <c r="E15" s="10">
        <v>0.1</v>
      </c>
      <c r="F15" s="10">
        <v>88</v>
      </c>
      <c r="G15" s="10">
        <v>132</v>
      </c>
      <c r="H15" s="10">
        <v>120</v>
      </c>
      <c r="I15" s="10">
        <v>37</v>
      </c>
      <c r="J15" s="10">
        <v>31</v>
      </c>
      <c r="K15" s="10">
        <v>4</v>
      </c>
      <c r="L15" s="10">
        <v>0</v>
      </c>
      <c r="M15" s="10">
        <v>4</v>
      </c>
      <c r="N15" s="10">
        <v>13</v>
      </c>
      <c r="O15" s="10">
        <v>31</v>
      </c>
      <c r="P15" s="10">
        <v>7</v>
      </c>
      <c r="Q15" s="10">
        <v>8</v>
      </c>
      <c r="R15" s="10">
        <v>32</v>
      </c>
      <c r="S15" s="10">
        <v>0.25800000000000001</v>
      </c>
      <c r="T15" s="10">
        <v>0.308</v>
      </c>
      <c r="U15" s="10">
        <v>0.39200000000000002</v>
      </c>
      <c r="V15" s="10">
        <v>0.69899999999999995</v>
      </c>
      <c r="W15" s="10">
        <v>96</v>
      </c>
      <c r="X15" s="10">
        <v>0.32700000000000001</v>
      </c>
      <c r="Y15" s="10">
        <v>85</v>
      </c>
      <c r="Z15" s="10">
        <v>47</v>
      </c>
      <c r="AA15" s="10">
        <v>2</v>
      </c>
      <c r="AB15" s="10">
        <v>1</v>
      </c>
      <c r="AC15" s="10">
        <v>1</v>
      </c>
      <c r="AD15" s="10">
        <v>1</v>
      </c>
      <c r="AE15" s="10">
        <v>0</v>
      </c>
      <c r="AF15" s="10" t="s">
        <v>520</v>
      </c>
      <c r="AG15" s="10" t="s">
        <v>37</v>
      </c>
      <c r="AH15" s="10" t="s">
        <v>521</v>
      </c>
      <c r="AI15" s="10" t="s">
        <v>837</v>
      </c>
      <c r="AJ15" s="10" t="s">
        <v>823</v>
      </c>
      <c r="AK15" s="67">
        <f>IFERROR(VLOOKUP(B15,'KC Salary 2024'!A14:I49,7,FALSE), "No salary data")</f>
        <v>743750</v>
      </c>
    </row>
    <row r="16" spans="1:37" x14ac:dyDescent="0.25">
      <c r="A16" s="9">
        <v>15</v>
      </c>
      <c r="B16" s="9" t="s">
        <v>46</v>
      </c>
      <c r="C16" s="9">
        <v>30</v>
      </c>
      <c r="D16" s="9" t="s">
        <v>11</v>
      </c>
      <c r="E16" s="9">
        <v>0.7</v>
      </c>
      <c r="F16" s="9">
        <v>37</v>
      </c>
      <c r="G16" s="9">
        <v>119</v>
      </c>
      <c r="H16" s="9">
        <v>108</v>
      </c>
      <c r="I16" s="9">
        <v>15</v>
      </c>
      <c r="J16" s="9">
        <v>24</v>
      </c>
      <c r="K16" s="9">
        <v>3</v>
      </c>
      <c r="L16" s="9">
        <v>0</v>
      </c>
      <c r="M16" s="9">
        <v>6</v>
      </c>
      <c r="N16" s="9">
        <v>15</v>
      </c>
      <c r="O16" s="9">
        <v>0</v>
      </c>
      <c r="P16" s="9">
        <v>1</v>
      </c>
      <c r="Q16" s="9">
        <v>9</v>
      </c>
      <c r="R16" s="9">
        <v>44</v>
      </c>
      <c r="S16" s="9">
        <v>0.222</v>
      </c>
      <c r="T16" s="9">
        <v>0.27700000000000002</v>
      </c>
      <c r="U16" s="9">
        <v>0.41699999999999998</v>
      </c>
      <c r="V16" s="9">
        <v>0.69399999999999995</v>
      </c>
      <c r="W16" s="9">
        <v>92</v>
      </c>
      <c r="X16" s="9">
        <v>0.308</v>
      </c>
      <c r="Y16" s="9">
        <v>97</v>
      </c>
      <c r="Z16" s="9">
        <v>45</v>
      </c>
      <c r="AA16" s="9">
        <v>1</v>
      </c>
      <c r="AB16" s="9">
        <v>0</v>
      </c>
      <c r="AC16" s="9">
        <v>0</v>
      </c>
      <c r="AD16" s="9">
        <v>2</v>
      </c>
      <c r="AE16" s="9">
        <v>0</v>
      </c>
      <c r="AF16" s="9" t="s">
        <v>522</v>
      </c>
      <c r="AG16" s="9" t="s">
        <v>37</v>
      </c>
      <c r="AH16" s="9" t="s">
        <v>49</v>
      </c>
      <c r="AI16" s="9" t="s">
        <v>837</v>
      </c>
      <c r="AJ16" s="9" t="s">
        <v>823</v>
      </c>
      <c r="AK16" s="67">
        <f>IFERROR(VLOOKUP(B16,'KC Salary 2024'!A15:I50,7,FALSE), "No salary data")</f>
        <v>714540</v>
      </c>
    </row>
    <row r="17" spans="1:37" x14ac:dyDescent="0.25">
      <c r="A17" s="10">
        <v>16</v>
      </c>
      <c r="B17" s="10" t="s">
        <v>73</v>
      </c>
      <c r="C17" s="10">
        <v>36</v>
      </c>
      <c r="D17" s="10" t="s">
        <v>74</v>
      </c>
      <c r="E17" s="10">
        <v>0.1</v>
      </c>
      <c r="F17" s="10">
        <v>23</v>
      </c>
      <c r="G17" s="10">
        <v>104</v>
      </c>
      <c r="H17" s="10">
        <v>101</v>
      </c>
      <c r="I17" s="10">
        <v>9</v>
      </c>
      <c r="J17" s="10">
        <v>23</v>
      </c>
      <c r="K17" s="10">
        <v>3</v>
      </c>
      <c r="L17" s="10">
        <v>1</v>
      </c>
      <c r="M17" s="10">
        <v>2</v>
      </c>
      <c r="N17" s="10">
        <v>8</v>
      </c>
      <c r="O17" s="10">
        <v>1</v>
      </c>
      <c r="P17" s="10">
        <v>0</v>
      </c>
      <c r="Q17" s="10">
        <v>3</v>
      </c>
      <c r="R17" s="10">
        <v>27</v>
      </c>
      <c r="S17" s="10">
        <v>0.22800000000000001</v>
      </c>
      <c r="T17" s="10">
        <v>0.25</v>
      </c>
      <c r="U17" s="10">
        <v>0.33700000000000002</v>
      </c>
      <c r="V17" s="10">
        <v>0.58699999999999997</v>
      </c>
      <c r="W17" s="10">
        <v>64</v>
      </c>
      <c r="X17" s="10">
        <v>0.27200000000000002</v>
      </c>
      <c r="Y17" s="10">
        <v>66</v>
      </c>
      <c r="Z17" s="10">
        <v>34</v>
      </c>
      <c r="AA17" s="10">
        <v>1</v>
      </c>
      <c r="AB17" s="10">
        <v>0</v>
      </c>
      <c r="AC17" s="10">
        <v>0</v>
      </c>
      <c r="AD17" s="10">
        <v>0</v>
      </c>
      <c r="AE17" s="10">
        <v>0</v>
      </c>
      <c r="AF17" s="10" t="s">
        <v>523</v>
      </c>
      <c r="AG17" s="10" t="s">
        <v>37</v>
      </c>
      <c r="AH17" s="10" t="s">
        <v>76</v>
      </c>
      <c r="AI17" s="10" t="s">
        <v>837</v>
      </c>
      <c r="AJ17" s="10" t="s">
        <v>823</v>
      </c>
      <c r="AK17" s="67" t="str">
        <f>IFERROR(VLOOKUP(B17,'KC Salary 2024'!A16:I51,7,FALSE), "No salary data")</f>
        <v>No salary data</v>
      </c>
    </row>
    <row r="18" spans="1:37" x14ac:dyDescent="0.25">
      <c r="A18" s="9">
        <v>17</v>
      </c>
      <c r="B18" s="9" t="s">
        <v>524</v>
      </c>
      <c r="C18" s="9">
        <v>40</v>
      </c>
      <c r="D18" s="9" t="s">
        <v>40</v>
      </c>
      <c r="E18" s="9">
        <v>0.1</v>
      </c>
      <c r="F18" s="9">
        <v>18</v>
      </c>
      <c r="G18" s="9">
        <v>65</v>
      </c>
      <c r="H18" s="9">
        <v>54</v>
      </c>
      <c r="I18" s="9">
        <v>7</v>
      </c>
      <c r="J18" s="9">
        <v>13</v>
      </c>
      <c r="K18" s="9">
        <v>3</v>
      </c>
      <c r="L18" s="9">
        <v>0</v>
      </c>
      <c r="M18" s="9">
        <v>0</v>
      </c>
      <c r="N18" s="9">
        <v>6</v>
      </c>
      <c r="O18" s="9">
        <v>1</v>
      </c>
      <c r="P18" s="9">
        <v>0</v>
      </c>
      <c r="Q18" s="9">
        <v>9</v>
      </c>
      <c r="R18" s="9">
        <v>15</v>
      </c>
      <c r="S18" s="9">
        <v>0.24099999999999999</v>
      </c>
      <c r="T18" s="9">
        <v>0.33800000000000002</v>
      </c>
      <c r="U18" s="9">
        <v>0.29599999999999999</v>
      </c>
      <c r="V18" s="9">
        <v>0.63500000000000001</v>
      </c>
      <c r="W18" s="9">
        <v>82</v>
      </c>
      <c r="X18" s="9">
        <v>0.28899999999999998</v>
      </c>
      <c r="Y18" s="9">
        <v>78</v>
      </c>
      <c r="Z18" s="9">
        <v>16</v>
      </c>
      <c r="AA18" s="9">
        <v>1</v>
      </c>
      <c r="AB18" s="9">
        <v>0</v>
      </c>
      <c r="AC18" s="9">
        <v>0</v>
      </c>
      <c r="AD18" s="9">
        <v>2</v>
      </c>
      <c r="AE18" s="9">
        <v>0</v>
      </c>
      <c r="AF18" s="9" t="s">
        <v>525</v>
      </c>
      <c r="AG18" s="9" t="s">
        <v>37</v>
      </c>
      <c r="AH18" s="9" t="s">
        <v>526</v>
      </c>
      <c r="AI18" s="9" t="s">
        <v>837</v>
      </c>
      <c r="AJ18" s="9" t="s">
        <v>823</v>
      </c>
      <c r="AK18" s="67" t="str">
        <f>IFERROR(VLOOKUP(B18,'KC Salary 2024'!A17:I52,7,FALSE), "No salary data")</f>
        <v>No salary data</v>
      </c>
    </row>
    <row r="19" spans="1:37" x14ac:dyDescent="0.25">
      <c r="A19" s="10">
        <v>18</v>
      </c>
      <c r="B19" s="10" t="s">
        <v>95</v>
      </c>
      <c r="C19" s="10">
        <v>34</v>
      </c>
      <c r="D19" s="10" t="s">
        <v>66</v>
      </c>
      <c r="E19" s="10">
        <v>-0.4</v>
      </c>
      <c r="F19" s="10">
        <v>16</v>
      </c>
      <c r="G19" s="10">
        <v>38</v>
      </c>
      <c r="H19" s="10">
        <v>32</v>
      </c>
      <c r="I19" s="10">
        <v>2</v>
      </c>
      <c r="J19" s="10">
        <v>4</v>
      </c>
      <c r="K19" s="10">
        <v>0</v>
      </c>
      <c r="L19" s="10">
        <v>0</v>
      </c>
      <c r="M19" s="10">
        <v>0</v>
      </c>
      <c r="N19" s="10">
        <v>2</v>
      </c>
      <c r="O19" s="10">
        <v>0</v>
      </c>
      <c r="P19" s="10">
        <v>0</v>
      </c>
      <c r="Q19" s="10">
        <v>5</v>
      </c>
      <c r="R19" s="10">
        <v>13</v>
      </c>
      <c r="S19" s="10">
        <v>0.125</v>
      </c>
      <c r="T19" s="10">
        <v>0.26300000000000001</v>
      </c>
      <c r="U19" s="10">
        <v>0.125</v>
      </c>
      <c r="V19" s="10">
        <v>0.38800000000000001</v>
      </c>
      <c r="W19" s="10">
        <v>15</v>
      </c>
      <c r="X19" s="10">
        <v>0.20100000000000001</v>
      </c>
      <c r="Y19" s="10">
        <v>17</v>
      </c>
      <c r="Z19" s="10">
        <v>4</v>
      </c>
      <c r="AA19" s="10">
        <v>1</v>
      </c>
      <c r="AB19" s="10">
        <v>1</v>
      </c>
      <c r="AC19" s="10">
        <v>0</v>
      </c>
      <c r="AD19" s="10">
        <v>0</v>
      </c>
      <c r="AE19" s="10">
        <v>0</v>
      </c>
      <c r="AF19" s="10" t="s">
        <v>527</v>
      </c>
      <c r="AG19" s="10" t="s">
        <v>37</v>
      </c>
      <c r="AH19" s="10" t="s">
        <v>97</v>
      </c>
      <c r="AI19" s="10" t="s">
        <v>837</v>
      </c>
      <c r="AJ19" s="10" t="s">
        <v>823</v>
      </c>
      <c r="AK19" s="67" t="str">
        <f>IFERROR(VLOOKUP(B19,'KC Salary 2024'!A18:I53,7,FALSE), "No salary data")</f>
        <v>No salary data</v>
      </c>
    </row>
    <row r="20" spans="1:37" x14ac:dyDescent="0.25">
      <c r="A20" s="9">
        <v>19</v>
      </c>
      <c r="B20" s="9" t="s">
        <v>528</v>
      </c>
      <c r="C20" s="9">
        <v>25</v>
      </c>
      <c r="D20" s="9" t="s">
        <v>74</v>
      </c>
      <c r="E20" s="9">
        <v>0</v>
      </c>
      <c r="F20" s="9">
        <v>7</v>
      </c>
      <c r="G20" s="9">
        <v>19</v>
      </c>
      <c r="H20" s="9">
        <v>16</v>
      </c>
      <c r="I20" s="9">
        <v>2</v>
      </c>
      <c r="J20" s="9">
        <v>3</v>
      </c>
      <c r="K20" s="9">
        <v>1</v>
      </c>
      <c r="L20" s="9">
        <v>0</v>
      </c>
      <c r="M20" s="9">
        <v>0</v>
      </c>
      <c r="N20" s="9">
        <v>1</v>
      </c>
      <c r="O20" s="9">
        <v>0</v>
      </c>
      <c r="P20" s="9">
        <v>0</v>
      </c>
      <c r="Q20" s="9">
        <v>2</v>
      </c>
      <c r="R20" s="9">
        <v>6</v>
      </c>
      <c r="S20" s="9">
        <v>0.188</v>
      </c>
      <c r="T20" s="9">
        <v>0.316</v>
      </c>
      <c r="U20" s="9">
        <v>0.25</v>
      </c>
      <c r="V20" s="9">
        <v>0.56599999999999995</v>
      </c>
      <c r="W20" s="9">
        <v>63</v>
      </c>
      <c r="X20" s="9">
        <v>0.26500000000000001</v>
      </c>
      <c r="Y20" s="9">
        <v>63</v>
      </c>
      <c r="Z20" s="9">
        <v>4</v>
      </c>
      <c r="AA20" s="9">
        <v>0</v>
      </c>
      <c r="AB20" s="9">
        <v>1</v>
      </c>
      <c r="AC20" s="9">
        <v>0</v>
      </c>
      <c r="AD20" s="9">
        <v>0</v>
      </c>
      <c r="AE20" s="9">
        <v>0</v>
      </c>
      <c r="AF20" s="9" t="s">
        <v>529</v>
      </c>
      <c r="AG20" s="9" t="s">
        <v>37</v>
      </c>
      <c r="AH20" s="9" t="s">
        <v>530</v>
      </c>
      <c r="AI20" s="9" t="s">
        <v>837</v>
      </c>
      <c r="AJ20" s="9" t="s">
        <v>823</v>
      </c>
      <c r="AK20" s="67" t="str">
        <f>IFERROR(VLOOKUP(B20,'KC Salary 2024'!A19:I54,7,FALSE), "No salary data")</f>
        <v>No salary data</v>
      </c>
    </row>
    <row r="21" spans="1:37" x14ac:dyDescent="0.25">
      <c r="A21" s="10">
        <v>20</v>
      </c>
      <c r="B21" s="10" t="s">
        <v>531</v>
      </c>
      <c r="C21" s="10">
        <v>27</v>
      </c>
      <c r="D21" s="10" t="s">
        <v>11</v>
      </c>
      <c r="E21" s="10">
        <v>-0.2</v>
      </c>
      <c r="F21" s="10">
        <v>4</v>
      </c>
      <c r="G21" s="10">
        <v>8</v>
      </c>
      <c r="H21" s="10">
        <v>8</v>
      </c>
      <c r="I21" s="10">
        <v>0</v>
      </c>
      <c r="J21" s="10">
        <v>1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3</v>
      </c>
      <c r="S21" s="10">
        <v>0.125</v>
      </c>
      <c r="T21" s="10">
        <v>0.125</v>
      </c>
      <c r="U21" s="10">
        <v>0.125</v>
      </c>
      <c r="V21" s="10">
        <v>0.25</v>
      </c>
      <c r="W21" s="10">
        <v>-29</v>
      </c>
      <c r="X21" s="10">
        <v>0.112</v>
      </c>
      <c r="Y21" s="10">
        <v>-48</v>
      </c>
      <c r="Z21" s="10">
        <v>1</v>
      </c>
      <c r="AA21" s="10">
        <v>0</v>
      </c>
      <c r="AB21" s="10">
        <v>0</v>
      </c>
      <c r="AC21" s="10">
        <v>0</v>
      </c>
      <c r="AD21" s="10">
        <v>0</v>
      </c>
      <c r="AE21" s="10">
        <v>0</v>
      </c>
      <c r="AF21" s="10" t="s">
        <v>290</v>
      </c>
      <c r="AG21" s="10" t="s">
        <v>37</v>
      </c>
      <c r="AH21" s="10" t="s">
        <v>532</v>
      </c>
      <c r="AI21" s="10" t="s">
        <v>837</v>
      </c>
      <c r="AJ21" s="10" t="s">
        <v>823</v>
      </c>
      <c r="AK21" s="67" t="str">
        <f>IFERROR(VLOOKUP(B21,'KC Salary 2024'!A20:I55,7,FALSE), "No salary data")</f>
        <v>No salary data</v>
      </c>
    </row>
    <row r="22" spans="1:37" x14ac:dyDescent="0.25">
      <c r="A22" s="9">
        <v>21</v>
      </c>
      <c r="B22" s="9" t="s">
        <v>533</v>
      </c>
      <c r="C22" s="9">
        <v>25</v>
      </c>
      <c r="D22" s="9" t="s">
        <v>62</v>
      </c>
      <c r="E22" s="9">
        <v>-0.1</v>
      </c>
      <c r="F22" s="9">
        <v>3</v>
      </c>
      <c r="G22" s="9">
        <v>5</v>
      </c>
      <c r="H22" s="9">
        <v>5</v>
      </c>
      <c r="I22" s="9">
        <v>0</v>
      </c>
      <c r="J22" s="9">
        <v>0</v>
      </c>
      <c r="K22" s="9">
        <v>0</v>
      </c>
      <c r="L22" s="9">
        <v>0</v>
      </c>
      <c r="M22" s="9">
        <v>0</v>
      </c>
      <c r="N22" s="9">
        <v>0</v>
      </c>
      <c r="O22" s="9">
        <v>0</v>
      </c>
      <c r="P22" s="9">
        <v>0</v>
      </c>
      <c r="Q22" s="9">
        <v>0</v>
      </c>
      <c r="R22" s="9">
        <v>2</v>
      </c>
      <c r="S22" s="9">
        <v>0</v>
      </c>
      <c r="T22" s="9">
        <v>0</v>
      </c>
      <c r="U22" s="9">
        <v>0</v>
      </c>
      <c r="V22" s="9">
        <v>0</v>
      </c>
      <c r="W22" s="9">
        <v>-100</v>
      </c>
      <c r="X22" s="9">
        <v>0</v>
      </c>
      <c r="Y22" s="9">
        <v>-125</v>
      </c>
      <c r="Z22" s="9">
        <v>0</v>
      </c>
      <c r="AA22" s="9">
        <v>0</v>
      </c>
      <c r="AB22" s="9">
        <v>0</v>
      </c>
      <c r="AC22" s="9">
        <v>0</v>
      </c>
      <c r="AD22" s="9">
        <v>0</v>
      </c>
      <c r="AE22" s="9">
        <v>0</v>
      </c>
      <c r="AF22" s="9" t="s">
        <v>534</v>
      </c>
      <c r="AG22" s="9" t="s">
        <v>37</v>
      </c>
      <c r="AH22" s="9" t="s">
        <v>535</v>
      </c>
      <c r="AI22" s="9" t="s">
        <v>837</v>
      </c>
      <c r="AJ22" s="9" t="s">
        <v>823</v>
      </c>
      <c r="AK22" s="67" t="str">
        <f>IFERROR(VLOOKUP(B22,'KC Salary 2024'!A21:I56,7,FALSE), "No salary data")</f>
        <v>No salary data</v>
      </c>
    </row>
    <row r="23" spans="1:37" x14ac:dyDescent="0.25">
      <c r="A23" s="10">
        <v>22</v>
      </c>
      <c r="B23" s="10" t="s">
        <v>536</v>
      </c>
      <c r="C23" s="10">
        <v>26</v>
      </c>
      <c r="D23" s="10" t="s">
        <v>132</v>
      </c>
      <c r="E23" s="10">
        <v>0</v>
      </c>
      <c r="F23" s="10">
        <v>1</v>
      </c>
      <c r="G23" s="10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R23" s="10">
        <v>0</v>
      </c>
      <c r="S23" s="10"/>
      <c r="T23" s="10"/>
      <c r="U23" s="10"/>
      <c r="V23" s="10"/>
      <c r="W23" s="10"/>
      <c r="X23" s="10"/>
      <c r="Y23" s="10"/>
      <c r="Z23" s="10">
        <v>0</v>
      </c>
      <c r="AA23" s="10">
        <v>0</v>
      </c>
      <c r="AB23" s="10">
        <v>0</v>
      </c>
      <c r="AC23" s="10">
        <v>0</v>
      </c>
      <c r="AD23" s="10">
        <v>0</v>
      </c>
      <c r="AE23" s="10">
        <v>0</v>
      </c>
      <c r="AF23" s="10" t="s">
        <v>133</v>
      </c>
      <c r="AG23" s="10" t="s">
        <v>37</v>
      </c>
      <c r="AH23" s="10" t="s">
        <v>537</v>
      </c>
      <c r="AI23" s="10" t="s">
        <v>837</v>
      </c>
      <c r="AJ23" s="10" t="s">
        <v>823</v>
      </c>
      <c r="AK23" s="67" t="str">
        <f>IFERROR(VLOOKUP(B23,'KC Salary 2024'!A22:I57,7,FALSE), "No salary data")</f>
        <v>No salary data</v>
      </c>
    </row>
    <row r="24" spans="1:37" x14ac:dyDescent="0.25">
      <c r="A24" s="9">
        <v>23</v>
      </c>
      <c r="B24" s="9" t="s">
        <v>538</v>
      </c>
      <c r="C24" s="9">
        <v>27</v>
      </c>
      <c r="D24" s="9" t="s">
        <v>132</v>
      </c>
      <c r="E24" s="9">
        <v>0</v>
      </c>
      <c r="F24" s="9">
        <v>2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/>
      <c r="T24" s="9"/>
      <c r="U24" s="9"/>
      <c r="V24" s="9"/>
      <c r="W24" s="9"/>
      <c r="X24" s="9"/>
      <c r="Y24" s="9"/>
      <c r="Z24" s="9">
        <v>0</v>
      </c>
      <c r="AA24" s="9">
        <v>0</v>
      </c>
      <c r="AB24" s="9">
        <v>0</v>
      </c>
      <c r="AC24" s="9">
        <v>0</v>
      </c>
      <c r="AD24" s="9">
        <v>0</v>
      </c>
      <c r="AE24" s="9">
        <v>0</v>
      </c>
      <c r="AF24" s="9" t="s">
        <v>133</v>
      </c>
      <c r="AG24" s="9" t="s">
        <v>37</v>
      </c>
      <c r="AH24" s="9" t="s">
        <v>539</v>
      </c>
      <c r="AI24" s="9" t="s">
        <v>837</v>
      </c>
      <c r="AJ24" s="9" t="s">
        <v>823</v>
      </c>
      <c r="AK24" s="67">
        <f>IFERROR(VLOOKUP(B24,'KC Salary 2024'!A23:I58,7,FALSE), "No salary data")</f>
        <v>745750</v>
      </c>
    </row>
    <row r="25" spans="1:37" x14ac:dyDescent="0.25">
      <c r="A25" s="11">
        <v>24</v>
      </c>
      <c r="B25" s="11" t="s">
        <v>540</v>
      </c>
      <c r="C25" s="11">
        <v>29</v>
      </c>
      <c r="D25" s="11" t="s">
        <v>132</v>
      </c>
      <c r="E25" s="11">
        <v>0</v>
      </c>
      <c r="F25" s="11">
        <v>1</v>
      </c>
      <c r="G25" s="11">
        <v>0</v>
      </c>
      <c r="H25" s="11">
        <v>0</v>
      </c>
      <c r="I25" s="11">
        <v>0</v>
      </c>
      <c r="J25" s="11">
        <v>0</v>
      </c>
      <c r="K25" s="11">
        <v>0</v>
      </c>
      <c r="L25" s="11">
        <v>0</v>
      </c>
      <c r="M25" s="11">
        <v>0</v>
      </c>
      <c r="N25" s="11">
        <v>0</v>
      </c>
      <c r="O25" s="11">
        <v>0</v>
      </c>
      <c r="P25" s="11">
        <v>0</v>
      </c>
      <c r="Q25" s="11">
        <v>0</v>
      </c>
      <c r="R25" s="11">
        <v>0</v>
      </c>
      <c r="S25" s="11"/>
      <c r="T25" s="11"/>
      <c r="U25" s="11"/>
      <c r="V25" s="11"/>
      <c r="W25" s="11"/>
      <c r="X25" s="11"/>
      <c r="Y25" s="11"/>
      <c r="Z25" s="11">
        <v>0</v>
      </c>
      <c r="AA25" s="11">
        <v>0</v>
      </c>
      <c r="AB25" s="11">
        <v>0</v>
      </c>
      <c r="AC25" s="11">
        <v>0</v>
      </c>
      <c r="AD25" s="11">
        <v>0</v>
      </c>
      <c r="AE25" s="11">
        <v>0</v>
      </c>
      <c r="AF25" s="11" t="s">
        <v>293</v>
      </c>
      <c r="AG25" s="11" t="s">
        <v>37</v>
      </c>
      <c r="AH25" s="11" t="s">
        <v>541</v>
      </c>
      <c r="AI25" s="11" t="s">
        <v>837</v>
      </c>
      <c r="AJ25" s="11" t="s">
        <v>823</v>
      </c>
      <c r="AK25" s="67">
        <f>IFERROR(VLOOKUP(B25,'KC Salary 2024'!A24:I59,7,FALSE), "No salary data")</f>
        <v>962500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5F1272-39B0-4760-9F51-FF49D771316B}">
  <sheetPr codeName="Sheet11"/>
  <dimension ref="A1:AN32"/>
  <sheetViews>
    <sheetView topLeftCell="AB1" workbookViewId="0">
      <selection activeCell="AN9" sqref="AN9"/>
    </sheetView>
  </sheetViews>
  <sheetFormatPr defaultRowHeight="15" x14ac:dyDescent="0.25"/>
  <cols>
    <col min="1" max="1" width="5.28515625" bestFit="1" customWidth="1"/>
    <col min="2" max="2" width="17.28515625" bestFit="1" customWidth="1"/>
    <col min="3" max="4" width="6.140625" bestFit="1" customWidth="1"/>
    <col min="5" max="5" width="7" bestFit="1" customWidth="1"/>
    <col min="6" max="6" width="4.7109375" bestFit="1" customWidth="1"/>
    <col min="7" max="7" width="4" bestFit="1" customWidth="1"/>
    <col min="8" max="8" width="7.85546875" bestFit="1" customWidth="1"/>
    <col min="9" max="9" width="6.42578125" bestFit="1" customWidth="1"/>
    <col min="10" max="10" width="4.42578125" bestFit="1" customWidth="1"/>
    <col min="11" max="12" width="5.42578125" bestFit="1" customWidth="1"/>
    <col min="13" max="13" width="5.5703125" bestFit="1" customWidth="1"/>
    <col min="14" max="14" width="6.7109375" bestFit="1" customWidth="1"/>
    <col min="15" max="15" width="5.28515625" bestFit="1" customWidth="1"/>
    <col min="16" max="16" width="5.85546875" bestFit="1" customWidth="1"/>
    <col min="17" max="17" width="4.42578125" bestFit="1" customWidth="1"/>
    <col min="18" max="18" width="4.28515625" bestFit="1" customWidth="1"/>
    <col min="19" max="19" width="5.28515625" bestFit="1" customWidth="1"/>
    <col min="20" max="20" width="5.5703125" bestFit="1" customWidth="1"/>
    <col min="21" max="21" width="5.28515625" bestFit="1" customWidth="1"/>
    <col min="22" max="22" width="5.85546875" bestFit="1" customWidth="1"/>
    <col min="23" max="23" width="5.42578125" bestFit="1" customWidth="1"/>
    <col min="24" max="24" width="6.5703125" bestFit="1" customWidth="1"/>
    <col min="25" max="25" width="5.28515625" bestFit="1" customWidth="1"/>
    <col min="26" max="26" width="5.85546875" bestFit="1" customWidth="1"/>
    <col min="27" max="27" width="5.140625" bestFit="1" customWidth="1"/>
    <col min="28" max="28" width="7.42578125" bestFit="1" customWidth="1"/>
    <col min="29" max="29" width="5.85546875" bestFit="1" customWidth="1"/>
    <col min="30" max="30" width="7.5703125" bestFit="1" customWidth="1"/>
    <col min="31" max="31" width="5.42578125" bestFit="1" customWidth="1"/>
    <col min="32" max="32" width="6.5703125" bestFit="1" customWidth="1"/>
    <col min="33" max="33" width="6.28515625" bestFit="1" customWidth="1"/>
    <col min="34" max="34" width="6.42578125" bestFit="1" customWidth="1"/>
    <col min="35" max="35" width="8.42578125" bestFit="1" customWidth="1"/>
    <col min="36" max="36" width="16.85546875" bestFit="1" customWidth="1"/>
    <col min="37" max="37" width="17.5703125" bestFit="1" customWidth="1"/>
    <col min="38" max="38" width="21.7109375" bestFit="1" customWidth="1"/>
    <col min="40" max="40" width="14" style="1" bestFit="1" customWidth="1"/>
  </cols>
  <sheetData>
    <row r="1" spans="1:40" x14ac:dyDescent="0.25">
      <c r="A1" s="64" t="s">
        <v>0</v>
      </c>
      <c r="B1" s="64" t="s">
        <v>1</v>
      </c>
      <c r="C1" s="64" t="s">
        <v>2</v>
      </c>
      <c r="D1" s="64" t="s">
        <v>3</v>
      </c>
      <c r="E1" s="64" t="s">
        <v>4</v>
      </c>
      <c r="F1" s="64" t="s">
        <v>137</v>
      </c>
      <c r="G1" s="64" t="s">
        <v>138</v>
      </c>
      <c r="H1" s="64" t="s">
        <v>139</v>
      </c>
      <c r="I1" s="64" t="s">
        <v>140</v>
      </c>
      <c r="J1" s="64" t="s">
        <v>5</v>
      </c>
      <c r="K1" s="64" t="s">
        <v>141</v>
      </c>
      <c r="L1" s="64" t="s">
        <v>142</v>
      </c>
      <c r="M1" s="64" t="s">
        <v>143</v>
      </c>
      <c r="N1" s="64" t="s">
        <v>144</v>
      </c>
      <c r="O1" s="64" t="s">
        <v>145</v>
      </c>
      <c r="P1" s="64" t="s">
        <v>146</v>
      </c>
      <c r="Q1" s="64" t="s">
        <v>9</v>
      </c>
      <c r="R1" s="64" t="s">
        <v>8</v>
      </c>
      <c r="S1" s="64" t="s">
        <v>147</v>
      </c>
      <c r="T1" s="64" t="s">
        <v>12</v>
      </c>
      <c r="U1" s="64" t="s">
        <v>16</v>
      </c>
      <c r="V1" s="64" t="s">
        <v>30</v>
      </c>
      <c r="W1" s="64" t="s">
        <v>17</v>
      </c>
      <c r="X1" s="64" t="s">
        <v>27</v>
      </c>
      <c r="Y1" s="64" t="s">
        <v>148</v>
      </c>
      <c r="Z1" s="64" t="s">
        <v>149</v>
      </c>
      <c r="AA1" s="64" t="s">
        <v>150</v>
      </c>
      <c r="AB1" s="64" t="s">
        <v>151</v>
      </c>
      <c r="AC1" s="64" t="s">
        <v>152</v>
      </c>
      <c r="AD1" s="64" t="s">
        <v>153</v>
      </c>
      <c r="AE1" s="64" t="s">
        <v>154</v>
      </c>
      <c r="AF1" s="64" t="s">
        <v>155</v>
      </c>
      <c r="AG1" s="64" t="s">
        <v>156</v>
      </c>
      <c r="AH1" s="64" t="s">
        <v>157</v>
      </c>
      <c r="AI1" s="64" t="s">
        <v>158</v>
      </c>
      <c r="AJ1" s="64" t="s">
        <v>32</v>
      </c>
      <c r="AK1" s="64" t="s">
        <v>33</v>
      </c>
      <c r="AL1" s="64" t="s">
        <v>836</v>
      </c>
      <c r="AM1" s="64" t="s">
        <v>817</v>
      </c>
      <c r="AN1" s="66" t="s">
        <v>840</v>
      </c>
    </row>
    <row r="2" spans="1:40" x14ac:dyDescent="0.25">
      <c r="A2" s="65">
        <v>1</v>
      </c>
      <c r="B2" s="65" t="s">
        <v>542</v>
      </c>
      <c r="C2" s="65">
        <v>34</v>
      </c>
      <c r="D2" s="65" t="s">
        <v>160</v>
      </c>
      <c r="E2" s="65">
        <v>5.4</v>
      </c>
      <c r="F2" s="65">
        <v>16</v>
      </c>
      <c r="G2" s="65">
        <v>9</v>
      </c>
      <c r="H2" s="65">
        <v>0.64</v>
      </c>
      <c r="I2" s="65">
        <v>3</v>
      </c>
      <c r="J2" s="65">
        <v>33</v>
      </c>
      <c r="K2" s="65">
        <v>33</v>
      </c>
      <c r="L2" s="65">
        <v>0</v>
      </c>
      <c r="M2" s="65">
        <v>1</v>
      </c>
      <c r="N2" s="65">
        <v>0</v>
      </c>
      <c r="O2" s="65">
        <v>0</v>
      </c>
      <c r="P2" s="65">
        <v>206.2</v>
      </c>
      <c r="Q2" s="65">
        <v>177</v>
      </c>
      <c r="R2" s="65">
        <v>75</v>
      </c>
      <c r="S2" s="65">
        <v>69</v>
      </c>
      <c r="T2" s="65">
        <v>16</v>
      </c>
      <c r="U2" s="65">
        <v>48</v>
      </c>
      <c r="V2" s="65">
        <v>1</v>
      </c>
      <c r="W2" s="65">
        <v>181</v>
      </c>
      <c r="X2" s="65">
        <v>9</v>
      </c>
      <c r="Y2" s="65">
        <v>0</v>
      </c>
      <c r="Z2" s="65">
        <v>4</v>
      </c>
      <c r="AA2" s="65">
        <v>836</v>
      </c>
      <c r="AB2" s="65">
        <v>141</v>
      </c>
      <c r="AC2" s="65">
        <v>3.25</v>
      </c>
      <c r="AD2" s="65">
        <v>1.089</v>
      </c>
      <c r="AE2" s="65">
        <v>7.7</v>
      </c>
      <c r="AF2" s="65">
        <v>0.7</v>
      </c>
      <c r="AG2" s="65">
        <v>2.1</v>
      </c>
      <c r="AH2" s="65">
        <v>7.9</v>
      </c>
      <c r="AI2" s="65">
        <v>3.77</v>
      </c>
      <c r="AJ2" s="65" t="s">
        <v>543</v>
      </c>
      <c r="AK2" s="65" t="s">
        <v>544</v>
      </c>
      <c r="AL2" s="65" t="s">
        <v>838</v>
      </c>
      <c r="AM2" s="65" t="s">
        <v>823</v>
      </c>
      <c r="AN2" s="67">
        <f>IFERROR(VLOOKUP(B2,'KC Salary 2024'!$A$1:$I$36,7, FALSE), "No salary data")</f>
        <v>15000000</v>
      </c>
    </row>
    <row r="3" spans="1:40" x14ac:dyDescent="0.25">
      <c r="A3" s="10">
        <v>2</v>
      </c>
      <c r="B3" s="10" t="s">
        <v>545</v>
      </c>
      <c r="C3" s="10">
        <v>26</v>
      </c>
      <c r="D3" s="10" t="s">
        <v>160</v>
      </c>
      <c r="E3" s="10">
        <v>5</v>
      </c>
      <c r="F3" s="10">
        <v>11</v>
      </c>
      <c r="G3" s="10">
        <v>9</v>
      </c>
      <c r="H3" s="10">
        <v>0.55000000000000004</v>
      </c>
      <c r="I3" s="10">
        <v>3.14</v>
      </c>
      <c r="J3" s="10">
        <v>32</v>
      </c>
      <c r="K3" s="10">
        <v>32</v>
      </c>
      <c r="L3" s="10">
        <v>0</v>
      </c>
      <c r="M3" s="10">
        <v>1</v>
      </c>
      <c r="N3" s="10">
        <v>0</v>
      </c>
      <c r="O3" s="10">
        <v>0</v>
      </c>
      <c r="P3" s="10">
        <v>186.1</v>
      </c>
      <c r="Q3" s="10">
        <v>146</v>
      </c>
      <c r="R3" s="10">
        <v>71</v>
      </c>
      <c r="S3" s="10">
        <v>65</v>
      </c>
      <c r="T3" s="10">
        <v>15</v>
      </c>
      <c r="U3" s="10">
        <v>67</v>
      </c>
      <c r="V3" s="10">
        <v>1</v>
      </c>
      <c r="W3" s="10">
        <v>223</v>
      </c>
      <c r="X3" s="10">
        <v>6</v>
      </c>
      <c r="Y3" s="10">
        <v>0</v>
      </c>
      <c r="Z3" s="10">
        <v>11</v>
      </c>
      <c r="AA3" s="10">
        <v>762</v>
      </c>
      <c r="AB3" s="10">
        <v>135</v>
      </c>
      <c r="AC3" s="10">
        <v>2.99</v>
      </c>
      <c r="AD3" s="10">
        <v>1.143</v>
      </c>
      <c r="AE3" s="10">
        <v>7.1</v>
      </c>
      <c r="AF3" s="10">
        <v>0.7</v>
      </c>
      <c r="AG3" s="10">
        <v>3.2</v>
      </c>
      <c r="AH3" s="10">
        <v>10.8</v>
      </c>
      <c r="AI3" s="10">
        <v>3.33</v>
      </c>
      <c r="AJ3" s="10" t="s">
        <v>546</v>
      </c>
      <c r="AK3" s="10" t="s">
        <v>547</v>
      </c>
      <c r="AL3" s="10" t="s">
        <v>838</v>
      </c>
      <c r="AM3" s="10" t="s">
        <v>823</v>
      </c>
      <c r="AN3" s="67">
        <f>IFERROR(VLOOKUP(B3,'KC Salary 2024'!$A$1:$I$36,7, FALSE), "No salary data")</f>
        <v>2391763</v>
      </c>
    </row>
    <row r="4" spans="1:40" x14ac:dyDescent="0.25">
      <c r="A4" s="9">
        <v>3</v>
      </c>
      <c r="B4" s="9" t="s">
        <v>548</v>
      </c>
      <c r="C4" s="9">
        <v>27</v>
      </c>
      <c r="D4" s="9" t="s">
        <v>160</v>
      </c>
      <c r="E4" s="9">
        <v>3.1</v>
      </c>
      <c r="F4" s="9">
        <v>9</v>
      </c>
      <c r="G4" s="9">
        <v>13</v>
      </c>
      <c r="H4" s="9">
        <v>0.40899999999999997</v>
      </c>
      <c r="I4" s="9">
        <v>3.71</v>
      </c>
      <c r="J4" s="9">
        <v>32</v>
      </c>
      <c r="K4" s="9">
        <v>32</v>
      </c>
      <c r="L4" s="9">
        <v>0</v>
      </c>
      <c r="M4" s="9">
        <v>0</v>
      </c>
      <c r="N4" s="9">
        <v>0</v>
      </c>
      <c r="O4" s="9">
        <v>0</v>
      </c>
      <c r="P4" s="9">
        <v>179.2</v>
      </c>
      <c r="Q4" s="9">
        <v>175</v>
      </c>
      <c r="R4" s="9">
        <v>77</v>
      </c>
      <c r="S4" s="9">
        <v>74</v>
      </c>
      <c r="T4" s="9">
        <v>22</v>
      </c>
      <c r="U4" s="9">
        <v>54</v>
      </c>
      <c r="V4" s="9">
        <v>0</v>
      </c>
      <c r="W4" s="9">
        <v>170</v>
      </c>
      <c r="X4" s="9">
        <v>10</v>
      </c>
      <c r="Y4" s="9">
        <v>0</v>
      </c>
      <c r="Z4" s="9">
        <v>2</v>
      </c>
      <c r="AA4" s="9">
        <v>762</v>
      </c>
      <c r="AB4" s="9">
        <v>114</v>
      </c>
      <c r="AC4" s="9">
        <v>3.93</v>
      </c>
      <c r="AD4" s="9">
        <v>1.2749999999999999</v>
      </c>
      <c r="AE4" s="9">
        <v>8.8000000000000007</v>
      </c>
      <c r="AF4" s="9">
        <v>1.1000000000000001</v>
      </c>
      <c r="AG4" s="9">
        <v>2.7</v>
      </c>
      <c r="AH4" s="9">
        <v>8.5</v>
      </c>
      <c r="AI4" s="9">
        <v>3.15</v>
      </c>
      <c r="AJ4" s="9" t="s">
        <v>37</v>
      </c>
      <c r="AK4" s="9" t="s">
        <v>549</v>
      </c>
      <c r="AL4" s="9" t="s">
        <v>838</v>
      </c>
      <c r="AM4" s="9" t="s">
        <v>823</v>
      </c>
      <c r="AN4" s="67">
        <f>IFERROR(VLOOKUP(B4,'KC Salary 2024'!$A$1:$I$36,7, FALSE), "No salary data")</f>
        <v>4850000</v>
      </c>
    </row>
    <row r="5" spans="1:40" x14ac:dyDescent="0.25">
      <c r="A5" s="10">
        <v>4</v>
      </c>
      <c r="B5" s="10" t="s">
        <v>550</v>
      </c>
      <c r="C5" s="10">
        <v>32</v>
      </c>
      <c r="D5" s="10" t="s">
        <v>160</v>
      </c>
      <c r="E5" s="10">
        <v>3.4</v>
      </c>
      <c r="F5" s="10">
        <v>13</v>
      </c>
      <c r="G5" s="10">
        <v>8</v>
      </c>
      <c r="H5" s="10">
        <v>0.61899999999999999</v>
      </c>
      <c r="I5" s="10">
        <v>3.35</v>
      </c>
      <c r="J5" s="10">
        <v>29</v>
      </c>
      <c r="K5" s="10">
        <v>29</v>
      </c>
      <c r="L5" s="10">
        <v>0</v>
      </c>
      <c r="M5" s="10">
        <v>0</v>
      </c>
      <c r="N5" s="10">
        <v>0</v>
      </c>
      <c r="O5" s="10">
        <v>0</v>
      </c>
      <c r="P5" s="10">
        <v>166.2</v>
      </c>
      <c r="Q5" s="10">
        <v>154</v>
      </c>
      <c r="R5" s="10">
        <v>65</v>
      </c>
      <c r="S5" s="10">
        <v>62</v>
      </c>
      <c r="T5" s="10">
        <v>17</v>
      </c>
      <c r="U5" s="10">
        <v>45</v>
      </c>
      <c r="V5" s="10">
        <v>1</v>
      </c>
      <c r="W5" s="10">
        <v>145</v>
      </c>
      <c r="X5" s="10">
        <v>5</v>
      </c>
      <c r="Y5" s="10">
        <v>0</v>
      </c>
      <c r="Z5" s="10">
        <v>3</v>
      </c>
      <c r="AA5" s="10">
        <v>685</v>
      </c>
      <c r="AB5" s="10">
        <v>126</v>
      </c>
      <c r="AC5" s="10">
        <v>3.65</v>
      </c>
      <c r="AD5" s="10">
        <v>1.194</v>
      </c>
      <c r="AE5" s="10">
        <v>8.3000000000000007</v>
      </c>
      <c r="AF5" s="10">
        <v>0.9</v>
      </c>
      <c r="AG5" s="10">
        <v>2.4</v>
      </c>
      <c r="AH5" s="10">
        <v>7.8</v>
      </c>
      <c r="AI5" s="10">
        <v>3.22</v>
      </c>
      <c r="AJ5" s="10" t="s">
        <v>37</v>
      </c>
      <c r="AK5" s="10" t="s">
        <v>551</v>
      </c>
      <c r="AL5" s="10" t="s">
        <v>838</v>
      </c>
      <c r="AM5" s="10" t="s">
        <v>823</v>
      </c>
      <c r="AN5" s="67">
        <f>IFERROR(VLOOKUP(B5,'KC Salary 2024'!$A$1:$I$36,7, FALSE), "No salary data")</f>
        <v>16450000</v>
      </c>
    </row>
    <row r="6" spans="1:40" x14ac:dyDescent="0.25">
      <c r="A6" s="9">
        <v>5</v>
      </c>
      <c r="B6" s="9" t="s">
        <v>552</v>
      </c>
      <c r="C6" s="9">
        <v>26</v>
      </c>
      <c r="D6" s="9" t="s">
        <v>160</v>
      </c>
      <c r="E6" s="9">
        <v>0.8</v>
      </c>
      <c r="F6" s="9">
        <v>9</v>
      </c>
      <c r="G6" s="9">
        <v>9</v>
      </c>
      <c r="H6" s="9">
        <v>0.5</v>
      </c>
      <c r="I6" s="9">
        <v>4.53</v>
      </c>
      <c r="J6" s="9">
        <v>26</v>
      </c>
      <c r="K6" s="9">
        <v>25</v>
      </c>
      <c r="L6" s="9">
        <v>1</v>
      </c>
      <c r="M6" s="9">
        <v>0</v>
      </c>
      <c r="N6" s="9">
        <v>0</v>
      </c>
      <c r="O6" s="9">
        <v>0</v>
      </c>
      <c r="P6" s="9">
        <v>129</v>
      </c>
      <c r="Q6" s="9">
        <v>123</v>
      </c>
      <c r="R6" s="9">
        <v>70</v>
      </c>
      <c r="S6" s="9">
        <v>65</v>
      </c>
      <c r="T6" s="9">
        <v>19</v>
      </c>
      <c r="U6" s="9">
        <v>39</v>
      </c>
      <c r="V6" s="9">
        <v>1</v>
      </c>
      <c r="W6" s="9">
        <v>123</v>
      </c>
      <c r="X6" s="9">
        <v>11</v>
      </c>
      <c r="Y6" s="9">
        <v>1</v>
      </c>
      <c r="Z6" s="9">
        <v>3</v>
      </c>
      <c r="AA6" s="9">
        <v>548</v>
      </c>
      <c r="AB6" s="9">
        <v>93</v>
      </c>
      <c r="AC6" s="9">
        <v>4.34</v>
      </c>
      <c r="AD6" s="9">
        <v>1.256</v>
      </c>
      <c r="AE6" s="9">
        <v>8.6</v>
      </c>
      <c r="AF6" s="9">
        <v>1.3</v>
      </c>
      <c r="AG6" s="9">
        <v>2.7</v>
      </c>
      <c r="AH6" s="9">
        <v>8.6</v>
      </c>
      <c r="AI6" s="9">
        <v>3.15</v>
      </c>
      <c r="AJ6" s="9" t="s">
        <v>37</v>
      </c>
      <c r="AK6" s="9" t="s">
        <v>553</v>
      </c>
      <c r="AL6" s="9" t="s">
        <v>838</v>
      </c>
      <c r="AM6" s="9" t="s">
        <v>823</v>
      </c>
      <c r="AN6" s="67">
        <f>IFERROR(VLOOKUP(B6,'KC Salary 2024'!$A$1:$I$36,7, FALSE), "No salary data")</f>
        <v>620620</v>
      </c>
    </row>
    <row r="7" spans="1:40" x14ac:dyDescent="0.25">
      <c r="A7" s="10">
        <v>6</v>
      </c>
      <c r="B7" s="10" t="s">
        <v>538</v>
      </c>
      <c r="C7" s="10">
        <v>27</v>
      </c>
      <c r="D7" s="10" t="s">
        <v>169</v>
      </c>
      <c r="E7" s="10">
        <v>-0.5</v>
      </c>
      <c r="F7" s="10">
        <v>5</v>
      </c>
      <c r="G7" s="10">
        <v>7</v>
      </c>
      <c r="H7" s="10">
        <v>0.41699999999999998</v>
      </c>
      <c r="I7" s="10">
        <v>4.92</v>
      </c>
      <c r="J7" s="10">
        <v>57</v>
      </c>
      <c r="K7" s="10">
        <v>0</v>
      </c>
      <c r="L7" s="10">
        <v>38</v>
      </c>
      <c r="M7" s="10">
        <v>0</v>
      </c>
      <c r="N7" s="10">
        <v>0</v>
      </c>
      <c r="O7" s="10">
        <v>18</v>
      </c>
      <c r="P7" s="10">
        <v>56.2</v>
      </c>
      <c r="Q7" s="10">
        <v>68</v>
      </c>
      <c r="R7" s="10">
        <v>36</v>
      </c>
      <c r="S7" s="10">
        <v>31</v>
      </c>
      <c r="T7" s="10">
        <v>8</v>
      </c>
      <c r="U7" s="10">
        <v>14</v>
      </c>
      <c r="V7" s="10">
        <v>2</v>
      </c>
      <c r="W7" s="10">
        <v>49</v>
      </c>
      <c r="X7" s="10">
        <v>3</v>
      </c>
      <c r="Y7" s="10">
        <v>0</v>
      </c>
      <c r="Z7" s="10">
        <v>1</v>
      </c>
      <c r="AA7" s="10">
        <v>247</v>
      </c>
      <c r="AB7" s="10">
        <v>86</v>
      </c>
      <c r="AC7" s="10">
        <v>4.17</v>
      </c>
      <c r="AD7" s="10">
        <v>1.4470000000000001</v>
      </c>
      <c r="AE7" s="10">
        <v>10.8</v>
      </c>
      <c r="AF7" s="10">
        <v>1.3</v>
      </c>
      <c r="AG7" s="10">
        <v>2.2000000000000002</v>
      </c>
      <c r="AH7" s="10">
        <v>7.8</v>
      </c>
      <c r="AI7" s="10">
        <v>3.5</v>
      </c>
      <c r="AJ7" s="10" t="s">
        <v>37</v>
      </c>
      <c r="AK7" s="10" t="s">
        <v>539</v>
      </c>
      <c r="AL7" s="10" t="s">
        <v>838</v>
      </c>
      <c r="AM7" s="10" t="s">
        <v>823</v>
      </c>
      <c r="AN7" s="67">
        <f>IFERROR(VLOOKUP(B7,'KC Salary 2024'!$A$1:$I$36,7, FALSE), "No salary data")</f>
        <v>745750</v>
      </c>
    </row>
    <row r="8" spans="1:40" x14ac:dyDescent="0.25">
      <c r="A8" s="9">
        <v>7</v>
      </c>
      <c r="B8" s="9" t="s">
        <v>554</v>
      </c>
      <c r="C8" s="9">
        <v>33</v>
      </c>
      <c r="D8" s="9" t="s">
        <v>171</v>
      </c>
      <c r="E8" s="9">
        <v>-0.7</v>
      </c>
      <c r="F8" s="9">
        <v>4</v>
      </c>
      <c r="G8" s="9">
        <v>3</v>
      </c>
      <c r="H8" s="9">
        <v>0.57099999999999995</v>
      </c>
      <c r="I8" s="9">
        <v>5.55</v>
      </c>
      <c r="J8" s="9">
        <v>57</v>
      </c>
      <c r="K8" s="9">
        <v>0</v>
      </c>
      <c r="L8" s="9">
        <v>21</v>
      </c>
      <c r="M8" s="9">
        <v>0</v>
      </c>
      <c r="N8" s="9">
        <v>0</v>
      </c>
      <c r="O8" s="9">
        <v>4</v>
      </c>
      <c r="P8" s="9">
        <v>58.1</v>
      </c>
      <c r="Q8" s="9">
        <v>53</v>
      </c>
      <c r="R8" s="9">
        <v>38</v>
      </c>
      <c r="S8" s="9">
        <v>36</v>
      </c>
      <c r="T8" s="9">
        <v>5</v>
      </c>
      <c r="U8" s="9">
        <v>33</v>
      </c>
      <c r="V8" s="9">
        <v>1</v>
      </c>
      <c r="W8" s="9">
        <v>44</v>
      </c>
      <c r="X8" s="9">
        <v>3</v>
      </c>
      <c r="Y8" s="9">
        <v>0</v>
      </c>
      <c r="Z8" s="9">
        <v>1</v>
      </c>
      <c r="AA8" s="9">
        <v>257</v>
      </c>
      <c r="AB8" s="9">
        <v>76</v>
      </c>
      <c r="AC8" s="9">
        <v>4.62</v>
      </c>
      <c r="AD8" s="9">
        <v>1.474</v>
      </c>
      <c r="AE8" s="9">
        <v>8.1999999999999993</v>
      </c>
      <c r="AF8" s="9">
        <v>0.8</v>
      </c>
      <c r="AG8" s="9">
        <v>5.0999999999999996</v>
      </c>
      <c r="AH8" s="9">
        <v>6.8</v>
      </c>
      <c r="AI8" s="9">
        <v>1.33</v>
      </c>
      <c r="AJ8" s="9" t="s">
        <v>37</v>
      </c>
      <c r="AK8" s="9" t="s">
        <v>555</v>
      </c>
      <c r="AL8" s="9" t="s">
        <v>838</v>
      </c>
      <c r="AM8" s="9" t="s">
        <v>823</v>
      </c>
      <c r="AN8" s="67">
        <f>IFERROR(VLOOKUP(B8,'KC Salary 2024'!$A$1:$I$36,7, FALSE), "No salary data")</f>
        <v>3500000</v>
      </c>
    </row>
    <row r="9" spans="1:40" x14ac:dyDescent="0.25">
      <c r="A9" s="10">
        <v>8</v>
      </c>
      <c r="B9" s="10" t="s">
        <v>556</v>
      </c>
      <c r="C9" s="10">
        <v>24</v>
      </c>
      <c r="D9" s="10" t="s">
        <v>171</v>
      </c>
      <c r="E9" s="10">
        <v>0.6</v>
      </c>
      <c r="F9" s="10">
        <v>2</v>
      </c>
      <c r="G9" s="10">
        <v>0</v>
      </c>
      <c r="H9" s="10">
        <v>1</v>
      </c>
      <c r="I9" s="10">
        <v>3.86</v>
      </c>
      <c r="J9" s="10">
        <v>60</v>
      </c>
      <c r="K9" s="10">
        <v>0</v>
      </c>
      <c r="L9" s="10">
        <v>3</v>
      </c>
      <c r="M9" s="10">
        <v>0</v>
      </c>
      <c r="N9" s="10">
        <v>0</v>
      </c>
      <c r="O9" s="10">
        <v>0</v>
      </c>
      <c r="P9" s="10">
        <v>53.2</v>
      </c>
      <c r="Q9" s="10">
        <v>59</v>
      </c>
      <c r="R9" s="10">
        <v>24</v>
      </c>
      <c r="S9" s="10">
        <v>23</v>
      </c>
      <c r="T9" s="10">
        <v>6</v>
      </c>
      <c r="U9" s="10">
        <v>19</v>
      </c>
      <c r="V9" s="10">
        <v>2</v>
      </c>
      <c r="W9" s="10">
        <v>49</v>
      </c>
      <c r="X9" s="10">
        <v>2</v>
      </c>
      <c r="Y9" s="10">
        <v>0</v>
      </c>
      <c r="Z9" s="10">
        <v>3</v>
      </c>
      <c r="AA9" s="10">
        <v>239</v>
      </c>
      <c r="AB9" s="10">
        <v>110</v>
      </c>
      <c r="AC9" s="10">
        <v>3.97</v>
      </c>
      <c r="AD9" s="10">
        <v>1.4530000000000001</v>
      </c>
      <c r="AE9" s="10">
        <v>9.9</v>
      </c>
      <c r="AF9" s="10">
        <v>1</v>
      </c>
      <c r="AG9" s="10">
        <v>3.2</v>
      </c>
      <c r="AH9" s="10">
        <v>8.1999999999999993</v>
      </c>
      <c r="AI9" s="10">
        <v>2.58</v>
      </c>
      <c r="AJ9" s="10" t="s">
        <v>37</v>
      </c>
      <c r="AK9" s="10" t="s">
        <v>557</v>
      </c>
      <c r="AL9" s="10" t="s">
        <v>838</v>
      </c>
      <c r="AM9" s="10" t="s">
        <v>823</v>
      </c>
      <c r="AN9" s="67" t="str">
        <f>IFERROR(VLOOKUP(B9,'KC Salary 2024'!$A$1:$I$36,7, FALSE), "No salary data")</f>
        <v>No salary data</v>
      </c>
    </row>
    <row r="10" spans="1:40" x14ac:dyDescent="0.25">
      <c r="A10" s="9">
        <v>9</v>
      </c>
      <c r="B10" s="9" t="s">
        <v>558</v>
      </c>
      <c r="C10" s="9">
        <v>30</v>
      </c>
      <c r="D10" s="9" t="s">
        <v>171</v>
      </c>
      <c r="E10" s="9">
        <v>0.5</v>
      </c>
      <c r="F10" s="9">
        <v>4</v>
      </c>
      <c r="G10" s="9">
        <v>3</v>
      </c>
      <c r="H10" s="9">
        <v>0.57099999999999995</v>
      </c>
      <c r="I10" s="9">
        <v>3.66</v>
      </c>
      <c r="J10" s="9">
        <v>59</v>
      </c>
      <c r="K10" s="9">
        <v>0</v>
      </c>
      <c r="L10" s="9">
        <v>5</v>
      </c>
      <c r="M10" s="9">
        <v>0</v>
      </c>
      <c r="N10" s="9">
        <v>0</v>
      </c>
      <c r="O10" s="9">
        <v>2</v>
      </c>
      <c r="P10" s="9">
        <v>51.2</v>
      </c>
      <c r="Q10" s="9">
        <v>48</v>
      </c>
      <c r="R10" s="9">
        <v>23</v>
      </c>
      <c r="S10" s="9">
        <v>21</v>
      </c>
      <c r="T10" s="9">
        <v>1</v>
      </c>
      <c r="U10" s="9">
        <v>20</v>
      </c>
      <c r="V10" s="9">
        <v>1</v>
      </c>
      <c r="W10" s="9">
        <v>46</v>
      </c>
      <c r="X10" s="9">
        <v>4</v>
      </c>
      <c r="Y10" s="9">
        <v>0</v>
      </c>
      <c r="Z10" s="9">
        <v>1</v>
      </c>
      <c r="AA10" s="9">
        <v>224</v>
      </c>
      <c r="AB10" s="9">
        <v>116</v>
      </c>
      <c r="AC10" s="9">
        <v>3.03</v>
      </c>
      <c r="AD10" s="9">
        <v>1.3160000000000001</v>
      </c>
      <c r="AE10" s="9">
        <v>8.4</v>
      </c>
      <c r="AF10" s="9">
        <v>0.2</v>
      </c>
      <c r="AG10" s="9">
        <v>3.5</v>
      </c>
      <c r="AH10" s="9">
        <v>8</v>
      </c>
      <c r="AI10" s="9">
        <v>2.2999999999999998</v>
      </c>
      <c r="AJ10" s="9" t="s">
        <v>37</v>
      </c>
      <c r="AK10" s="9" t="s">
        <v>559</v>
      </c>
      <c r="AL10" s="9" t="s">
        <v>838</v>
      </c>
      <c r="AM10" s="9" t="s">
        <v>823</v>
      </c>
      <c r="AN10" s="67">
        <f>IFERROR(VLOOKUP(B10,'KC Salary 2024'!$A$1:$I$36,7, FALSE), "No salary data")</f>
        <v>1175000</v>
      </c>
    </row>
    <row r="11" spans="1:40" x14ac:dyDescent="0.25">
      <c r="A11" s="10">
        <v>10</v>
      </c>
      <c r="B11" s="10" t="s">
        <v>560</v>
      </c>
      <c r="C11" s="10">
        <v>34</v>
      </c>
      <c r="D11" s="10" t="s">
        <v>171</v>
      </c>
      <c r="E11" s="10">
        <v>-0.9</v>
      </c>
      <c r="F11" s="10">
        <v>0</v>
      </c>
      <c r="G11" s="10">
        <v>4</v>
      </c>
      <c r="H11" s="10">
        <v>0</v>
      </c>
      <c r="I11" s="10">
        <v>6.53</v>
      </c>
      <c r="J11" s="10">
        <v>45</v>
      </c>
      <c r="K11" s="10">
        <v>0</v>
      </c>
      <c r="L11" s="10">
        <v>13</v>
      </c>
      <c r="M11" s="10">
        <v>0</v>
      </c>
      <c r="N11" s="10">
        <v>0</v>
      </c>
      <c r="O11" s="10">
        <v>1</v>
      </c>
      <c r="P11" s="10">
        <v>41.1</v>
      </c>
      <c r="Q11" s="10">
        <v>45</v>
      </c>
      <c r="R11" s="10">
        <v>31</v>
      </c>
      <c r="S11" s="10">
        <v>30</v>
      </c>
      <c r="T11" s="10">
        <v>7</v>
      </c>
      <c r="U11" s="10">
        <v>15</v>
      </c>
      <c r="V11" s="10">
        <v>2</v>
      </c>
      <c r="W11" s="10">
        <v>29</v>
      </c>
      <c r="X11" s="10">
        <v>3</v>
      </c>
      <c r="Y11" s="10">
        <v>0</v>
      </c>
      <c r="Z11" s="10">
        <v>0</v>
      </c>
      <c r="AA11" s="10">
        <v>186</v>
      </c>
      <c r="AB11" s="10">
        <v>65</v>
      </c>
      <c r="AC11" s="10">
        <v>5.27</v>
      </c>
      <c r="AD11" s="10">
        <v>1.452</v>
      </c>
      <c r="AE11" s="10">
        <v>9.8000000000000007</v>
      </c>
      <c r="AF11" s="10">
        <v>1.5</v>
      </c>
      <c r="AG11" s="10">
        <v>3.3</v>
      </c>
      <c r="AH11" s="10">
        <v>6.3</v>
      </c>
      <c r="AI11" s="10">
        <v>1.93</v>
      </c>
      <c r="AJ11" s="10" t="s">
        <v>37</v>
      </c>
      <c r="AK11" s="10" t="s">
        <v>561</v>
      </c>
      <c r="AL11" s="10" t="s">
        <v>838</v>
      </c>
      <c r="AM11" s="10" t="s">
        <v>823</v>
      </c>
      <c r="AN11" s="67">
        <f>IFERROR(VLOOKUP(B11,'KC Salary 2024'!$A$1:$I$36,7, FALSE), "No salary data")</f>
        <v>5625000</v>
      </c>
    </row>
    <row r="12" spans="1:40" x14ac:dyDescent="0.25">
      <c r="A12" s="9">
        <v>11</v>
      </c>
      <c r="B12" s="9" t="s">
        <v>562</v>
      </c>
      <c r="C12" s="9">
        <v>27</v>
      </c>
      <c r="D12" s="9" t="s">
        <v>37</v>
      </c>
      <c r="E12" s="9">
        <v>0.9</v>
      </c>
      <c r="F12" s="9">
        <v>2</v>
      </c>
      <c r="G12" s="9">
        <v>0</v>
      </c>
      <c r="H12" s="9">
        <v>1</v>
      </c>
      <c r="I12" s="9">
        <v>3.32</v>
      </c>
      <c r="J12" s="9">
        <v>16</v>
      </c>
      <c r="K12" s="9">
        <v>3</v>
      </c>
      <c r="L12" s="9">
        <v>3</v>
      </c>
      <c r="M12" s="9">
        <v>0</v>
      </c>
      <c r="N12" s="9">
        <v>0</v>
      </c>
      <c r="O12" s="9">
        <v>1</v>
      </c>
      <c r="P12" s="9">
        <v>43.1</v>
      </c>
      <c r="Q12" s="9">
        <v>29</v>
      </c>
      <c r="R12" s="9">
        <v>17</v>
      </c>
      <c r="S12" s="9">
        <v>16</v>
      </c>
      <c r="T12" s="9">
        <v>6</v>
      </c>
      <c r="U12" s="9">
        <v>14</v>
      </c>
      <c r="V12" s="9">
        <v>0</v>
      </c>
      <c r="W12" s="9">
        <v>39</v>
      </c>
      <c r="X12" s="9">
        <v>4</v>
      </c>
      <c r="Y12" s="9">
        <v>0</v>
      </c>
      <c r="Z12" s="9">
        <v>0</v>
      </c>
      <c r="AA12" s="9">
        <v>174</v>
      </c>
      <c r="AB12" s="9">
        <v>128</v>
      </c>
      <c r="AC12" s="9">
        <v>4.41</v>
      </c>
      <c r="AD12" s="9">
        <v>0.99199999999999999</v>
      </c>
      <c r="AE12" s="9">
        <v>6</v>
      </c>
      <c r="AF12" s="9">
        <v>1.2</v>
      </c>
      <c r="AG12" s="9">
        <v>2.9</v>
      </c>
      <c r="AH12" s="9">
        <v>8.1</v>
      </c>
      <c r="AI12" s="9">
        <v>2.79</v>
      </c>
      <c r="AJ12" s="9" t="s">
        <v>37</v>
      </c>
      <c r="AK12" s="9" t="s">
        <v>563</v>
      </c>
      <c r="AL12" s="9" t="s">
        <v>838</v>
      </c>
      <c r="AM12" s="9" t="s">
        <v>823</v>
      </c>
      <c r="AN12" s="67" t="str">
        <f>IFERROR(VLOOKUP(B12,'KC Salary 2024'!$A$1:$I$36,7, FALSE), "No salary data")</f>
        <v>No salary data</v>
      </c>
    </row>
    <row r="13" spans="1:40" x14ac:dyDescent="0.25">
      <c r="A13" s="10">
        <v>12</v>
      </c>
      <c r="B13" s="10" t="s">
        <v>564</v>
      </c>
      <c r="C13" s="10">
        <v>28</v>
      </c>
      <c r="D13" s="10" t="s">
        <v>37</v>
      </c>
      <c r="E13" s="10">
        <v>0.7</v>
      </c>
      <c r="F13" s="10">
        <v>3</v>
      </c>
      <c r="G13" s="10">
        <v>3</v>
      </c>
      <c r="H13" s="10">
        <v>0.5</v>
      </c>
      <c r="I13" s="10">
        <v>3.16</v>
      </c>
      <c r="J13" s="10">
        <v>43</v>
      </c>
      <c r="K13" s="10">
        <v>0</v>
      </c>
      <c r="L13" s="10">
        <v>5</v>
      </c>
      <c r="M13" s="10">
        <v>0</v>
      </c>
      <c r="N13" s="10">
        <v>0</v>
      </c>
      <c r="O13" s="10">
        <v>1</v>
      </c>
      <c r="P13" s="10">
        <v>42.2</v>
      </c>
      <c r="Q13" s="10">
        <v>34</v>
      </c>
      <c r="R13" s="10">
        <v>17</v>
      </c>
      <c r="S13" s="10">
        <v>15</v>
      </c>
      <c r="T13" s="10">
        <v>5</v>
      </c>
      <c r="U13" s="10">
        <v>17</v>
      </c>
      <c r="V13" s="10">
        <v>1</v>
      </c>
      <c r="W13" s="10">
        <v>44</v>
      </c>
      <c r="X13" s="10">
        <v>1</v>
      </c>
      <c r="Y13" s="10">
        <v>1</v>
      </c>
      <c r="Z13" s="10">
        <v>3</v>
      </c>
      <c r="AA13" s="10">
        <v>176</v>
      </c>
      <c r="AB13" s="10">
        <v>135</v>
      </c>
      <c r="AC13" s="10">
        <v>3.89</v>
      </c>
      <c r="AD13" s="10">
        <v>1.1950000000000001</v>
      </c>
      <c r="AE13" s="10">
        <v>7.2</v>
      </c>
      <c r="AF13" s="10">
        <v>1.1000000000000001</v>
      </c>
      <c r="AG13" s="10">
        <v>3.6</v>
      </c>
      <c r="AH13" s="10">
        <v>9.3000000000000007</v>
      </c>
      <c r="AI13" s="10">
        <v>2.59</v>
      </c>
      <c r="AJ13" s="10" t="s">
        <v>37</v>
      </c>
      <c r="AK13" s="10" t="s">
        <v>565</v>
      </c>
      <c r="AL13" s="10" t="s">
        <v>838</v>
      </c>
      <c r="AM13" s="10" t="s">
        <v>823</v>
      </c>
      <c r="AN13" s="67">
        <f>IFERROR(VLOOKUP(B13,'KC Salary 2024'!$A$1:$I$36,7, FALSE), "No salary data")</f>
        <v>525096</v>
      </c>
    </row>
    <row r="14" spans="1:40" x14ac:dyDescent="0.25">
      <c r="A14" s="9">
        <v>13</v>
      </c>
      <c r="B14" s="9" t="s">
        <v>566</v>
      </c>
      <c r="C14" s="9">
        <v>33</v>
      </c>
      <c r="D14" s="9" t="s">
        <v>37</v>
      </c>
      <c r="E14" s="9">
        <v>0.3</v>
      </c>
      <c r="F14" s="9">
        <v>3</v>
      </c>
      <c r="G14" s="9">
        <v>1</v>
      </c>
      <c r="H14" s="9">
        <v>0.75</v>
      </c>
      <c r="I14" s="9">
        <v>4.04</v>
      </c>
      <c r="J14" s="9">
        <v>37</v>
      </c>
      <c r="K14" s="9">
        <v>0</v>
      </c>
      <c r="L14" s="9">
        <v>19</v>
      </c>
      <c r="M14" s="9">
        <v>0</v>
      </c>
      <c r="N14" s="9">
        <v>0</v>
      </c>
      <c r="O14" s="9">
        <v>1</v>
      </c>
      <c r="P14" s="9">
        <v>35.200000000000003</v>
      </c>
      <c r="Q14" s="9">
        <v>35</v>
      </c>
      <c r="R14" s="9">
        <v>17</v>
      </c>
      <c r="S14" s="9">
        <v>16</v>
      </c>
      <c r="T14" s="9">
        <v>6</v>
      </c>
      <c r="U14" s="9">
        <v>15</v>
      </c>
      <c r="V14" s="9">
        <v>1</v>
      </c>
      <c r="W14" s="9">
        <v>29</v>
      </c>
      <c r="X14" s="9">
        <v>1</v>
      </c>
      <c r="Y14" s="9">
        <v>0</v>
      </c>
      <c r="Z14" s="9">
        <v>1</v>
      </c>
      <c r="AA14" s="9">
        <v>153</v>
      </c>
      <c r="AB14" s="9">
        <v>106</v>
      </c>
      <c r="AC14" s="9">
        <v>5.07</v>
      </c>
      <c r="AD14" s="9">
        <v>1.4019999999999999</v>
      </c>
      <c r="AE14" s="9">
        <v>8.8000000000000007</v>
      </c>
      <c r="AF14" s="9">
        <v>1.5</v>
      </c>
      <c r="AG14" s="9">
        <v>3.8</v>
      </c>
      <c r="AH14" s="9">
        <v>7.3</v>
      </c>
      <c r="AI14" s="9">
        <v>1.93</v>
      </c>
      <c r="AJ14" s="9" t="s">
        <v>37</v>
      </c>
      <c r="AK14" s="9" t="s">
        <v>567</v>
      </c>
      <c r="AL14" s="9" t="s">
        <v>838</v>
      </c>
      <c r="AM14" s="9" t="s">
        <v>823</v>
      </c>
      <c r="AN14" s="67" t="str">
        <f>IFERROR(VLOOKUP(B14,'KC Salary 2024'!$A$1:$I$36,7, FALSE), "No salary data")</f>
        <v>No salary data</v>
      </c>
    </row>
    <row r="15" spans="1:40" x14ac:dyDescent="0.25">
      <c r="A15" s="10">
        <v>14</v>
      </c>
      <c r="B15" s="10" t="s">
        <v>536</v>
      </c>
      <c r="C15" s="10">
        <v>26</v>
      </c>
      <c r="D15" s="10" t="s">
        <v>37</v>
      </c>
      <c r="E15" s="10">
        <v>0.8</v>
      </c>
      <c r="F15" s="10">
        <v>1</v>
      </c>
      <c r="G15" s="10">
        <v>1</v>
      </c>
      <c r="H15" s="10">
        <v>0.5</v>
      </c>
      <c r="I15" s="10">
        <v>2.67</v>
      </c>
      <c r="J15" s="10">
        <v>27</v>
      </c>
      <c r="K15" s="10">
        <v>0</v>
      </c>
      <c r="L15" s="10">
        <v>7</v>
      </c>
      <c r="M15" s="10">
        <v>0</v>
      </c>
      <c r="N15" s="10">
        <v>0</v>
      </c>
      <c r="O15" s="10">
        <v>1</v>
      </c>
      <c r="P15" s="10">
        <v>30.1</v>
      </c>
      <c r="Q15" s="10">
        <v>26</v>
      </c>
      <c r="R15" s="10">
        <v>12</v>
      </c>
      <c r="S15" s="10">
        <v>9</v>
      </c>
      <c r="T15" s="10">
        <v>2</v>
      </c>
      <c r="U15" s="10">
        <v>5</v>
      </c>
      <c r="V15" s="10">
        <v>3</v>
      </c>
      <c r="W15" s="10">
        <v>39</v>
      </c>
      <c r="X15" s="10">
        <v>0</v>
      </c>
      <c r="Y15" s="10">
        <v>0</v>
      </c>
      <c r="Z15" s="10">
        <v>1</v>
      </c>
      <c r="AA15" s="10">
        <v>121</v>
      </c>
      <c r="AB15" s="10">
        <v>160</v>
      </c>
      <c r="AC15" s="10">
        <v>1.95</v>
      </c>
      <c r="AD15" s="10">
        <v>1.022</v>
      </c>
      <c r="AE15" s="10">
        <v>7.7</v>
      </c>
      <c r="AF15" s="10">
        <v>0.6</v>
      </c>
      <c r="AG15" s="10">
        <v>1.5</v>
      </c>
      <c r="AH15" s="10">
        <v>11.6</v>
      </c>
      <c r="AI15" s="10">
        <v>7.8</v>
      </c>
      <c r="AJ15" s="10" t="s">
        <v>37</v>
      </c>
      <c r="AK15" s="10" t="s">
        <v>537</v>
      </c>
      <c r="AL15" s="10" t="s">
        <v>838</v>
      </c>
      <c r="AM15" s="10" t="s">
        <v>823</v>
      </c>
      <c r="AN15" s="67">
        <f>IFERROR(VLOOKUP(B15,'KC Salary 2024'!$A$1:$I$36,7, FALSE), "No salary data")</f>
        <v>2350000</v>
      </c>
    </row>
    <row r="16" spans="1:40" x14ac:dyDescent="0.25">
      <c r="A16" s="9">
        <v>15</v>
      </c>
      <c r="B16" s="9" t="s">
        <v>568</v>
      </c>
      <c r="C16" s="9">
        <v>27</v>
      </c>
      <c r="D16" s="9" t="s">
        <v>37</v>
      </c>
      <c r="E16" s="9">
        <v>0.2</v>
      </c>
      <c r="F16" s="9">
        <v>0</v>
      </c>
      <c r="G16" s="9">
        <v>1</v>
      </c>
      <c r="H16" s="9">
        <v>0</v>
      </c>
      <c r="I16" s="9">
        <v>3.3</v>
      </c>
      <c r="J16" s="9">
        <v>27</v>
      </c>
      <c r="K16" s="9">
        <v>0</v>
      </c>
      <c r="L16" s="9">
        <v>10</v>
      </c>
      <c r="M16" s="9">
        <v>0</v>
      </c>
      <c r="N16" s="9">
        <v>0</v>
      </c>
      <c r="O16" s="9">
        <v>0</v>
      </c>
      <c r="P16" s="9">
        <v>30</v>
      </c>
      <c r="Q16" s="9">
        <v>24</v>
      </c>
      <c r="R16" s="9">
        <v>14</v>
      </c>
      <c r="S16" s="9">
        <v>11</v>
      </c>
      <c r="T16" s="9">
        <v>1</v>
      </c>
      <c r="U16" s="9">
        <v>16</v>
      </c>
      <c r="V16" s="9">
        <v>0</v>
      </c>
      <c r="W16" s="9">
        <v>27</v>
      </c>
      <c r="X16" s="9">
        <v>1</v>
      </c>
      <c r="Y16" s="9">
        <v>0</v>
      </c>
      <c r="Z16" s="9">
        <v>1</v>
      </c>
      <c r="AA16" s="9">
        <v>129</v>
      </c>
      <c r="AB16" s="9">
        <v>129</v>
      </c>
      <c r="AC16" s="9">
        <v>3.5</v>
      </c>
      <c r="AD16" s="9">
        <v>1.333</v>
      </c>
      <c r="AE16" s="9">
        <v>7.2</v>
      </c>
      <c r="AF16" s="9">
        <v>0.3</v>
      </c>
      <c r="AG16" s="9">
        <v>4.8</v>
      </c>
      <c r="AH16" s="9">
        <v>8.1</v>
      </c>
      <c r="AI16" s="9">
        <v>1.69</v>
      </c>
      <c r="AJ16" s="9" t="s">
        <v>37</v>
      </c>
      <c r="AK16" s="9" t="s">
        <v>569</v>
      </c>
      <c r="AL16" s="9" t="s">
        <v>838</v>
      </c>
      <c r="AM16" s="9" t="s">
        <v>823</v>
      </c>
      <c r="AN16" s="67" t="str">
        <f>IFERROR(VLOOKUP(B16,'KC Salary 2024'!$A$1:$I$36,7, FALSE), "No salary data")</f>
        <v>No salary data</v>
      </c>
    </row>
    <row r="17" spans="1:40" x14ac:dyDescent="0.25">
      <c r="A17" s="10">
        <v>16</v>
      </c>
      <c r="B17" s="10" t="s">
        <v>474</v>
      </c>
      <c r="C17" s="10">
        <v>32</v>
      </c>
      <c r="D17" s="10" t="s">
        <v>37</v>
      </c>
      <c r="E17" s="10">
        <v>1.2</v>
      </c>
      <c r="F17" s="10">
        <v>2</v>
      </c>
      <c r="G17" s="10">
        <v>0</v>
      </c>
      <c r="H17" s="10">
        <v>1</v>
      </c>
      <c r="I17" s="10">
        <v>1.57</v>
      </c>
      <c r="J17" s="10">
        <v>7</v>
      </c>
      <c r="K17" s="10">
        <v>6</v>
      </c>
      <c r="L17" s="10">
        <v>0</v>
      </c>
      <c r="M17" s="10">
        <v>0</v>
      </c>
      <c r="N17" s="10">
        <v>0</v>
      </c>
      <c r="O17" s="10">
        <v>0</v>
      </c>
      <c r="P17" s="10">
        <v>28.2</v>
      </c>
      <c r="Q17" s="10">
        <v>19</v>
      </c>
      <c r="R17" s="10">
        <v>6</v>
      </c>
      <c r="S17" s="10">
        <v>5</v>
      </c>
      <c r="T17" s="10">
        <v>2</v>
      </c>
      <c r="U17" s="10">
        <v>12</v>
      </c>
      <c r="V17" s="10">
        <v>0</v>
      </c>
      <c r="W17" s="10">
        <v>22</v>
      </c>
      <c r="X17" s="10">
        <v>1</v>
      </c>
      <c r="Y17" s="10">
        <v>0</v>
      </c>
      <c r="Z17" s="10">
        <v>0</v>
      </c>
      <c r="AA17" s="10">
        <v>117</v>
      </c>
      <c r="AB17" s="10">
        <v>272</v>
      </c>
      <c r="AC17" s="10">
        <v>3.9</v>
      </c>
      <c r="AD17" s="10">
        <v>1.081</v>
      </c>
      <c r="AE17" s="10">
        <v>6</v>
      </c>
      <c r="AF17" s="10">
        <v>0.6</v>
      </c>
      <c r="AG17" s="10">
        <v>3.8</v>
      </c>
      <c r="AH17" s="10">
        <v>6.9</v>
      </c>
      <c r="AI17" s="10">
        <v>1.83</v>
      </c>
      <c r="AJ17" s="10" t="s">
        <v>37</v>
      </c>
      <c r="AK17" s="10" t="s">
        <v>475</v>
      </c>
      <c r="AL17" s="10" t="s">
        <v>838</v>
      </c>
      <c r="AM17" s="10" t="s">
        <v>823</v>
      </c>
      <c r="AN17" s="67">
        <f>IFERROR(VLOOKUP(B17,'KC Salary 2024'!$A$1:$I$36,7, FALSE), "No salary data")</f>
        <v>2800028</v>
      </c>
    </row>
    <row r="18" spans="1:40" x14ac:dyDescent="0.25">
      <c r="A18" s="9">
        <v>17</v>
      </c>
      <c r="B18" s="9" t="s">
        <v>570</v>
      </c>
      <c r="C18" s="9">
        <v>29</v>
      </c>
      <c r="D18" s="9" t="s">
        <v>37</v>
      </c>
      <c r="E18" s="9">
        <v>0.8</v>
      </c>
      <c r="F18" s="9">
        <v>0</v>
      </c>
      <c r="G18" s="9">
        <v>3</v>
      </c>
      <c r="H18" s="9">
        <v>0</v>
      </c>
      <c r="I18" s="9">
        <v>2.88</v>
      </c>
      <c r="J18" s="9">
        <v>23</v>
      </c>
      <c r="K18" s="9">
        <v>0</v>
      </c>
      <c r="L18" s="9">
        <v>12</v>
      </c>
      <c r="M18" s="9">
        <v>0</v>
      </c>
      <c r="N18" s="9">
        <v>0</v>
      </c>
      <c r="O18" s="9">
        <v>11</v>
      </c>
      <c r="P18" s="9">
        <v>25</v>
      </c>
      <c r="Q18" s="9">
        <v>18</v>
      </c>
      <c r="R18" s="9">
        <v>9</v>
      </c>
      <c r="S18" s="9">
        <v>8</v>
      </c>
      <c r="T18" s="9">
        <v>0</v>
      </c>
      <c r="U18" s="9">
        <v>3</v>
      </c>
      <c r="V18" s="9">
        <v>0</v>
      </c>
      <c r="W18" s="9">
        <v>31</v>
      </c>
      <c r="X18" s="9">
        <v>1</v>
      </c>
      <c r="Y18" s="9">
        <v>1</v>
      </c>
      <c r="Z18" s="9">
        <v>1</v>
      </c>
      <c r="AA18" s="9">
        <v>97</v>
      </c>
      <c r="AB18" s="9">
        <v>149</v>
      </c>
      <c r="AC18" s="9">
        <v>1.17</v>
      </c>
      <c r="AD18" s="9">
        <v>0.84</v>
      </c>
      <c r="AE18" s="9">
        <v>6.5</v>
      </c>
      <c r="AF18" s="9">
        <v>0</v>
      </c>
      <c r="AG18" s="9">
        <v>1.1000000000000001</v>
      </c>
      <c r="AH18" s="9">
        <v>11.2</v>
      </c>
      <c r="AI18" s="9">
        <v>10.33</v>
      </c>
      <c r="AJ18" s="9" t="s">
        <v>37</v>
      </c>
      <c r="AK18" s="9" t="s">
        <v>571</v>
      </c>
      <c r="AL18" s="9" t="s">
        <v>838</v>
      </c>
      <c r="AM18" s="9" t="s">
        <v>823</v>
      </c>
      <c r="AN18" s="67">
        <f>IFERROR(VLOOKUP(B18,'KC Salary 2024'!$A$1:$I$36,7, FALSE), "No salary data")</f>
        <v>750000</v>
      </c>
    </row>
    <row r="19" spans="1:40" x14ac:dyDescent="0.25">
      <c r="A19" s="10">
        <v>18</v>
      </c>
      <c r="B19" s="10" t="s">
        <v>572</v>
      </c>
      <c r="C19" s="10">
        <v>25</v>
      </c>
      <c r="D19" s="10" t="s">
        <v>37</v>
      </c>
      <c r="E19" s="10">
        <v>-0.2</v>
      </c>
      <c r="F19" s="10">
        <v>0</v>
      </c>
      <c r="G19" s="10">
        <v>0</v>
      </c>
      <c r="H19" s="10"/>
      <c r="I19" s="10">
        <v>7.71</v>
      </c>
      <c r="J19" s="10">
        <v>14</v>
      </c>
      <c r="K19" s="10">
        <v>0</v>
      </c>
      <c r="L19" s="10">
        <v>8</v>
      </c>
      <c r="M19" s="10">
        <v>0</v>
      </c>
      <c r="N19" s="10">
        <v>0</v>
      </c>
      <c r="O19" s="10">
        <v>0</v>
      </c>
      <c r="P19" s="10">
        <v>16.100000000000001</v>
      </c>
      <c r="Q19" s="10">
        <v>23</v>
      </c>
      <c r="R19" s="10">
        <v>14</v>
      </c>
      <c r="S19" s="10">
        <v>14</v>
      </c>
      <c r="T19" s="10">
        <v>3</v>
      </c>
      <c r="U19" s="10">
        <v>11</v>
      </c>
      <c r="V19" s="10">
        <v>0</v>
      </c>
      <c r="W19" s="10">
        <v>9</v>
      </c>
      <c r="X19" s="10">
        <v>1</v>
      </c>
      <c r="Y19" s="10">
        <v>0</v>
      </c>
      <c r="Z19" s="10">
        <v>1</v>
      </c>
      <c r="AA19" s="10">
        <v>84</v>
      </c>
      <c r="AB19" s="10">
        <v>56</v>
      </c>
      <c r="AC19" s="10">
        <v>6.66</v>
      </c>
      <c r="AD19" s="10">
        <v>2.0819999999999999</v>
      </c>
      <c r="AE19" s="10">
        <v>12.7</v>
      </c>
      <c r="AF19" s="10">
        <v>1.7</v>
      </c>
      <c r="AG19" s="10">
        <v>6.1</v>
      </c>
      <c r="AH19" s="10">
        <v>5</v>
      </c>
      <c r="AI19" s="10">
        <v>0.82</v>
      </c>
      <c r="AJ19" s="10" t="s">
        <v>37</v>
      </c>
      <c r="AK19" s="10" t="s">
        <v>573</v>
      </c>
      <c r="AL19" s="10" t="s">
        <v>838</v>
      </c>
      <c r="AM19" s="10" t="s">
        <v>823</v>
      </c>
      <c r="AN19" s="67" t="str">
        <f>IFERROR(VLOOKUP(B19,'KC Salary 2024'!$A$1:$I$36,7, FALSE), "No salary data")</f>
        <v>No salary data</v>
      </c>
    </row>
    <row r="20" spans="1:40" x14ac:dyDescent="0.25">
      <c r="A20" s="9">
        <v>19</v>
      </c>
      <c r="B20" s="9" t="s">
        <v>574</v>
      </c>
      <c r="C20" s="9">
        <v>33</v>
      </c>
      <c r="D20" s="9" t="s">
        <v>37</v>
      </c>
      <c r="E20" s="9">
        <v>0</v>
      </c>
      <c r="F20" s="9">
        <v>1</v>
      </c>
      <c r="G20" s="9">
        <v>0</v>
      </c>
      <c r="H20" s="9">
        <v>1</v>
      </c>
      <c r="I20" s="9">
        <v>5</v>
      </c>
      <c r="J20" s="9">
        <v>9</v>
      </c>
      <c r="K20" s="9">
        <v>0</v>
      </c>
      <c r="L20" s="9">
        <v>0</v>
      </c>
      <c r="M20" s="9">
        <v>0</v>
      </c>
      <c r="N20" s="9">
        <v>0</v>
      </c>
      <c r="O20" s="9">
        <v>0</v>
      </c>
      <c r="P20" s="9">
        <v>9</v>
      </c>
      <c r="Q20" s="9">
        <v>7</v>
      </c>
      <c r="R20" s="9">
        <v>5</v>
      </c>
      <c r="S20" s="9">
        <v>5</v>
      </c>
      <c r="T20" s="9">
        <v>0</v>
      </c>
      <c r="U20" s="9">
        <v>8</v>
      </c>
      <c r="V20" s="9">
        <v>0</v>
      </c>
      <c r="W20" s="9">
        <v>10</v>
      </c>
      <c r="X20" s="9">
        <v>1</v>
      </c>
      <c r="Y20" s="9">
        <v>0</v>
      </c>
      <c r="Z20" s="9">
        <v>0</v>
      </c>
      <c r="AA20" s="9">
        <v>42</v>
      </c>
      <c r="AB20" s="9">
        <v>88</v>
      </c>
      <c r="AC20" s="9">
        <v>3.94</v>
      </c>
      <c r="AD20" s="9">
        <v>1.667</v>
      </c>
      <c r="AE20" s="9">
        <v>7</v>
      </c>
      <c r="AF20" s="9">
        <v>0</v>
      </c>
      <c r="AG20" s="9">
        <v>8</v>
      </c>
      <c r="AH20" s="9">
        <v>10</v>
      </c>
      <c r="AI20" s="9">
        <v>1.25</v>
      </c>
      <c r="AJ20" s="9" t="s">
        <v>37</v>
      </c>
      <c r="AK20" s="9" t="s">
        <v>575</v>
      </c>
      <c r="AL20" s="9" t="s">
        <v>838</v>
      </c>
      <c r="AM20" s="9" t="s">
        <v>823</v>
      </c>
      <c r="AN20" s="67" t="str">
        <f>IFERROR(VLOOKUP(B20,'KC Salary 2024'!$A$1:$I$36,7, FALSE), "No salary data")</f>
        <v>No salary data</v>
      </c>
    </row>
    <row r="21" spans="1:40" x14ac:dyDescent="0.25">
      <c r="A21" s="10">
        <v>20</v>
      </c>
      <c r="B21" s="10" t="s">
        <v>576</v>
      </c>
      <c r="C21" s="10">
        <v>24</v>
      </c>
      <c r="D21" s="10" t="s">
        <v>37</v>
      </c>
      <c r="E21" s="10">
        <v>-0.1</v>
      </c>
      <c r="F21" s="10">
        <v>1</v>
      </c>
      <c r="G21" s="10">
        <v>0</v>
      </c>
      <c r="H21" s="10">
        <v>1</v>
      </c>
      <c r="I21" s="10">
        <v>6.35</v>
      </c>
      <c r="J21" s="10">
        <v>5</v>
      </c>
      <c r="K21" s="10">
        <v>0</v>
      </c>
      <c r="L21" s="10">
        <v>2</v>
      </c>
      <c r="M21" s="10">
        <v>0</v>
      </c>
      <c r="N21" s="10">
        <v>0</v>
      </c>
      <c r="O21" s="10">
        <v>0</v>
      </c>
      <c r="P21" s="10">
        <v>5.2</v>
      </c>
      <c r="Q21" s="10">
        <v>10</v>
      </c>
      <c r="R21" s="10">
        <v>4</v>
      </c>
      <c r="S21" s="10">
        <v>4</v>
      </c>
      <c r="T21" s="10">
        <v>0</v>
      </c>
      <c r="U21" s="10">
        <v>2</v>
      </c>
      <c r="V21" s="10">
        <v>0</v>
      </c>
      <c r="W21" s="10">
        <v>6</v>
      </c>
      <c r="X21" s="10">
        <v>0</v>
      </c>
      <c r="Y21" s="10">
        <v>0</v>
      </c>
      <c r="Z21" s="10">
        <v>0</v>
      </c>
      <c r="AA21" s="10">
        <v>27</v>
      </c>
      <c r="AB21" s="10">
        <v>71</v>
      </c>
      <c r="AC21" s="10">
        <v>2.11</v>
      </c>
      <c r="AD21" s="10">
        <v>2.1179999999999999</v>
      </c>
      <c r="AE21" s="10">
        <v>15.9</v>
      </c>
      <c r="AF21" s="10">
        <v>0</v>
      </c>
      <c r="AG21" s="10">
        <v>3.2</v>
      </c>
      <c r="AH21" s="10">
        <v>9.5</v>
      </c>
      <c r="AI21" s="10">
        <v>3</v>
      </c>
      <c r="AJ21" s="10" t="s">
        <v>37</v>
      </c>
      <c r="AK21" s="10" t="s">
        <v>577</v>
      </c>
      <c r="AL21" s="10" t="s">
        <v>838</v>
      </c>
      <c r="AM21" s="10" t="s">
        <v>823</v>
      </c>
      <c r="AN21" s="67" t="str">
        <f>IFERROR(VLOOKUP(B21,'KC Salary 2024'!$A$1:$I$36,7, FALSE), "No salary data")</f>
        <v>No salary data</v>
      </c>
    </row>
    <row r="22" spans="1:40" x14ac:dyDescent="0.25">
      <c r="A22" s="9">
        <v>21</v>
      </c>
      <c r="B22" s="9" t="s">
        <v>540</v>
      </c>
      <c r="C22" s="9">
        <v>29</v>
      </c>
      <c r="D22" s="9" t="s">
        <v>37</v>
      </c>
      <c r="E22" s="9">
        <v>-0.2</v>
      </c>
      <c r="F22" s="9">
        <v>0</v>
      </c>
      <c r="G22" s="9">
        <v>0</v>
      </c>
      <c r="H22" s="9"/>
      <c r="I22" s="9">
        <v>6.35</v>
      </c>
      <c r="J22" s="9">
        <v>6</v>
      </c>
      <c r="K22" s="9">
        <v>0</v>
      </c>
      <c r="L22" s="9">
        <v>1</v>
      </c>
      <c r="M22" s="9">
        <v>0</v>
      </c>
      <c r="N22" s="9">
        <v>0</v>
      </c>
      <c r="O22" s="9">
        <v>1</v>
      </c>
      <c r="P22" s="9">
        <v>5.2</v>
      </c>
      <c r="Q22" s="9">
        <v>8</v>
      </c>
      <c r="R22" s="9">
        <v>4</v>
      </c>
      <c r="S22" s="9">
        <v>4</v>
      </c>
      <c r="T22" s="9">
        <v>1</v>
      </c>
      <c r="U22" s="9">
        <v>4</v>
      </c>
      <c r="V22" s="9">
        <v>1</v>
      </c>
      <c r="W22" s="9">
        <v>5</v>
      </c>
      <c r="X22" s="9">
        <v>1</v>
      </c>
      <c r="Y22" s="9">
        <v>0</v>
      </c>
      <c r="Z22" s="9">
        <v>0</v>
      </c>
      <c r="AA22" s="9">
        <v>29</v>
      </c>
      <c r="AB22" s="9">
        <v>71</v>
      </c>
      <c r="AC22" s="9">
        <v>6.34</v>
      </c>
      <c r="AD22" s="9">
        <v>2.1179999999999999</v>
      </c>
      <c r="AE22" s="9">
        <v>12.7</v>
      </c>
      <c r="AF22" s="9">
        <v>1.6</v>
      </c>
      <c r="AG22" s="9">
        <v>6.4</v>
      </c>
      <c r="AH22" s="9">
        <v>7.9</v>
      </c>
      <c r="AI22" s="9">
        <v>1.25</v>
      </c>
      <c r="AJ22" s="9" t="s">
        <v>37</v>
      </c>
      <c r="AK22" s="9" t="s">
        <v>541</v>
      </c>
      <c r="AL22" s="9" t="s">
        <v>838</v>
      </c>
      <c r="AM22" s="9" t="s">
        <v>823</v>
      </c>
      <c r="AN22" s="67">
        <f>IFERROR(VLOOKUP(B22,'KC Salary 2024'!$A$1:$I$36,7, FALSE), "No salary data")</f>
        <v>962500</v>
      </c>
    </row>
    <row r="23" spans="1:40" x14ac:dyDescent="0.25">
      <c r="A23" s="10">
        <v>22</v>
      </c>
      <c r="B23" s="10" t="s">
        <v>578</v>
      </c>
      <c r="C23" s="10">
        <v>25</v>
      </c>
      <c r="D23" s="10" t="s">
        <v>37</v>
      </c>
      <c r="E23" s="10">
        <v>0.2</v>
      </c>
      <c r="F23" s="10">
        <v>0</v>
      </c>
      <c r="G23" s="10">
        <v>0</v>
      </c>
      <c r="H23" s="10"/>
      <c r="I23" s="10">
        <v>0</v>
      </c>
      <c r="J23" s="10">
        <v>5</v>
      </c>
      <c r="K23" s="10">
        <v>0</v>
      </c>
      <c r="L23" s="10">
        <v>3</v>
      </c>
      <c r="M23" s="10">
        <v>0</v>
      </c>
      <c r="N23" s="10">
        <v>0</v>
      </c>
      <c r="O23" s="10">
        <v>0</v>
      </c>
      <c r="P23" s="10">
        <v>5.2</v>
      </c>
      <c r="Q23" s="10">
        <v>1</v>
      </c>
      <c r="R23" s="10">
        <v>0</v>
      </c>
      <c r="S23" s="10">
        <v>0</v>
      </c>
      <c r="T23" s="10">
        <v>0</v>
      </c>
      <c r="U23" s="10">
        <v>0</v>
      </c>
      <c r="V23" s="10">
        <v>0</v>
      </c>
      <c r="W23" s="10">
        <v>4</v>
      </c>
      <c r="X23" s="10">
        <v>0</v>
      </c>
      <c r="Y23" s="10">
        <v>0</v>
      </c>
      <c r="Z23" s="10">
        <v>1</v>
      </c>
      <c r="AA23" s="10">
        <v>18</v>
      </c>
      <c r="AB23" s="10"/>
      <c r="AC23" s="10">
        <v>1.75</v>
      </c>
      <c r="AD23" s="10">
        <v>0.17599999999999999</v>
      </c>
      <c r="AE23" s="10">
        <v>1.6</v>
      </c>
      <c r="AF23" s="10">
        <v>0</v>
      </c>
      <c r="AG23" s="10">
        <v>0</v>
      </c>
      <c r="AH23" s="10">
        <v>6.4</v>
      </c>
      <c r="AI23" s="10"/>
      <c r="AJ23" s="10" t="s">
        <v>37</v>
      </c>
      <c r="AK23" s="10" t="s">
        <v>579</v>
      </c>
      <c r="AL23" s="10" t="s">
        <v>838</v>
      </c>
      <c r="AM23" s="10" t="s">
        <v>823</v>
      </c>
      <c r="AN23" s="67" t="str">
        <f>IFERROR(VLOOKUP(B23,'KC Salary 2024'!$A$1:$I$36,7, FALSE), "No salary data")</f>
        <v>No salary data</v>
      </c>
    </row>
    <row r="24" spans="1:40" x14ac:dyDescent="0.25">
      <c r="A24" s="9">
        <v>23</v>
      </c>
      <c r="B24" s="9" t="s">
        <v>580</v>
      </c>
      <c r="C24" s="9">
        <v>33</v>
      </c>
      <c r="D24" s="9" t="s">
        <v>37</v>
      </c>
      <c r="E24" s="9">
        <v>0.2</v>
      </c>
      <c r="F24" s="9">
        <v>0</v>
      </c>
      <c r="G24" s="9">
        <v>0</v>
      </c>
      <c r="H24" s="9"/>
      <c r="I24" s="9">
        <v>0</v>
      </c>
      <c r="J24" s="9">
        <v>5</v>
      </c>
      <c r="K24" s="9">
        <v>0</v>
      </c>
      <c r="L24" s="9">
        <v>3</v>
      </c>
      <c r="M24" s="9">
        <v>0</v>
      </c>
      <c r="N24" s="9">
        <v>0</v>
      </c>
      <c r="O24" s="9">
        <v>0</v>
      </c>
      <c r="P24" s="9">
        <v>5</v>
      </c>
      <c r="Q24" s="9">
        <v>2</v>
      </c>
      <c r="R24" s="9">
        <v>0</v>
      </c>
      <c r="S24" s="9">
        <v>0</v>
      </c>
      <c r="T24" s="9">
        <v>0</v>
      </c>
      <c r="U24" s="9">
        <v>2</v>
      </c>
      <c r="V24" s="9">
        <v>0</v>
      </c>
      <c r="W24" s="9">
        <v>3</v>
      </c>
      <c r="X24" s="9">
        <v>0</v>
      </c>
      <c r="Y24" s="9">
        <v>0</v>
      </c>
      <c r="Z24" s="9">
        <v>0</v>
      </c>
      <c r="AA24" s="9">
        <v>19</v>
      </c>
      <c r="AB24" s="9"/>
      <c r="AC24" s="9">
        <v>3.17</v>
      </c>
      <c r="AD24" s="9">
        <v>0.8</v>
      </c>
      <c r="AE24" s="9">
        <v>3.6</v>
      </c>
      <c r="AF24" s="9">
        <v>0</v>
      </c>
      <c r="AG24" s="9">
        <v>3.6</v>
      </c>
      <c r="AH24" s="9">
        <v>5.4</v>
      </c>
      <c r="AI24" s="9">
        <v>1.5</v>
      </c>
      <c r="AJ24" s="9" t="s">
        <v>37</v>
      </c>
      <c r="AK24" s="9" t="s">
        <v>581</v>
      </c>
      <c r="AL24" s="9" t="s">
        <v>838</v>
      </c>
      <c r="AM24" s="9" t="s">
        <v>823</v>
      </c>
      <c r="AN24" s="67" t="str">
        <f>IFERROR(VLOOKUP(B24,'KC Salary 2024'!$A$1:$I$36,7, FALSE), "No salary data")</f>
        <v>No salary data</v>
      </c>
    </row>
    <row r="25" spans="1:40" x14ac:dyDescent="0.25">
      <c r="A25" s="10">
        <v>24</v>
      </c>
      <c r="B25" s="10" t="s">
        <v>582</v>
      </c>
      <c r="C25" s="10">
        <v>31</v>
      </c>
      <c r="D25" s="10" t="s">
        <v>37</v>
      </c>
      <c r="E25" s="10">
        <v>-0.3</v>
      </c>
      <c r="F25" s="10">
        <v>0</v>
      </c>
      <c r="G25" s="10">
        <v>1</v>
      </c>
      <c r="H25" s="10">
        <v>0</v>
      </c>
      <c r="I25" s="10">
        <v>14.73</v>
      </c>
      <c r="J25" s="10">
        <v>5</v>
      </c>
      <c r="K25" s="10">
        <v>1</v>
      </c>
      <c r="L25" s="10">
        <v>0</v>
      </c>
      <c r="M25" s="10">
        <v>0</v>
      </c>
      <c r="N25" s="10">
        <v>0</v>
      </c>
      <c r="O25" s="10">
        <v>0</v>
      </c>
      <c r="P25" s="10">
        <v>3.2</v>
      </c>
      <c r="Q25" s="10">
        <v>5</v>
      </c>
      <c r="R25" s="10">
        <v>6</v>
      </c>
      <c r="S25" s="10">
        <v>6</v>
      </c>
      <c r="T25" s="10">
        <v>1</v>
      </c>
      <c r="U25" s="10">
        <v>3</v>
      </c>
      <c r="V25" s="10">
        <v>0</v>
      </c>
      <c r="W25" s="10">
        <v>5</v>
      </c>
      <c r="X25" s="10">
        <v>1</v>
      </c>
      <c r="Y25" s="10">
        <v>0</v>
      </c>
      <c r="Z25" s="10">
        <v>0</v>
      </c>
      <c r="AA25" s="10">
        <v>21</v>
      </c>
      <c r="AB25" s="10">
        <v>32</v>
      </c>
      <c r="AC25" s="10">
        <v>7.26</v>
      </c>
      <c r="AD25" s="10">
        <v>2.1819999999999999</v>
      </c>
      <c r="AE25" s="10">
        <v>12.3</v>
      </c>
      <c r="AF25" s="10">
        <v>2.5</v>
      </c>
      <c r="AG25" s="10">
        <v>7.4</v>
      </c>
      <c r="AH25" s="10">
        <v>12.3</v>
      </c>
      <c r="AI25" s="10">
        <v>1.67</v>
      </c>
      <c r="AJ25" s="10" t="s">
        <v>37</v>
      </c>
      <c r="AK25" s="10" t="s">
        <v>583</v>
      </c>
      <c r="AL25" s="10" t="s">
        <v>838</v>
      </c>
      <c r="AM25" s="10" t="s">
        <v>823</v>
      </c>
      <c r="AN25" s="67" t="str">
        <f>IFERROR(VLOOKUP(B25,'KC Salary 2024'!$A$1:$I$36,7, FALSE), "No salary data")</f>
        <v>No salary data</v>
      </c>
    </row>
    <row r="26" spans="1:40" x14ac:dyDescent="0.25">
      <c r="A26" s="9">
        <v>25</v>
      </c>
      <c r="B26" s="9" t="s">
        <v>584</v>
      </c>
      <c r="C26" s="9">
        <v>26</v>
      </c>
      <c r="D26" s="9" t="s">
        <v>37</v>
      </c>
      <c r="E26" s="9">
        <v>-0.1</v>
      </c>
      <c r="F26" s="9">
        <v>0</v>
      </c>
      <c r="G26" s="9">
        <v>0</v>
      </c>
      <c r="H26" s="9"/>
      <c r="I26" s="9">
        <v>6</v>
      </c>
      <c r="J26" s="9">
        <v>2</v>
      </c>
      <c r="K26" s="9">
        <v>0</v>
      </c>
      <c r="L26" s="9">
        <v>1</v>
      </c>
      <c r="M26" s="9">
        <v>0</v>
      </c>
      <c r="N26" s="9">
        <v>0</v>
      </c>
      <c r="O26" s="9">
        <v>0</v>
      </c>
      <c r="P26" s="9">
        <v>3</v>
      </c>
      <c r="Q26" s="9">
        <v>2</v>
      </c>
      <c r="R26" s="9">
        <v>3</v>
      </c>
      <c r="S26" s="9">
        <v>2</v>
      </c>
      <c r="T26" s="9">
        <v>0</v>
      </c>
      <c r="U26" s="9">
        <v>2</v>
      </c>
      <c r="V26" s="9">
        <v>0</v>
      </c>
      <c r="W26" s="9">
        <v>0</v>
      </c>
      <c r="X26" s="9">
        <v>0</v>
      </c>
      <c r="Y26" s="9">
        <v>0</v>
      </c>
      <c r="Z26" s="9">
        <v>1</v>
      </c>
      <c r="AA26" s="9">
        <v>13</v>
      </c>
      <c r="AB26" s="9">
        <v>79</v>
      </c>
      <c r="AC26" s="9">
        <v>5.17</v>
      </c>
      <c r="AD26" s="9">
        <v>1.333</v>
      </c>
      <c r="AE26" s="9">
        <v>6</v>
      </c>
      <c r="AF26" s="9">
        <v>0</v>
      </c>
      <c r="AG26" s="9">
        <v>6</v>
      </c>
      <c r="AH26" s="9">
        <v>0</v>
      </c>
      <c r="AI26" s="9">
        <v>0</v>
      </c>
      <c r="AJ26" s="9" t="s">
        <v>37</v>
      </c>
      <c r="AK26" s="9" t="s">
        <v>585</v>
      </c>
      <c r="AL26" s="9" t="s">
        <v>838</v>
      </c>
      <c r="AM26" s="9" t="s">
        <v>823</v>
      </c>
      <c r="AN26" s="67" t="str">
        <f>IFERROR(VLOOKUP(B26,'KC Salary 2024'!$A$1:$I$36,7, FALSE), "No salary data")</f>
        <v>No salary data</v>
      </c>
    </row>
    <row r="27" spans="1:40" x14ac:dyDescent="0.25">
      <c r="A27" s="10">
        <v>26</v>
      </c>
      <c r="B27" s="10" t="s">
        <v>586</v>
      </c>
      <c r="C27" s="10">
        <v>27</v>
      </c>
      <c r="D27" s="10" t="s">
        <v>37</v>
      </c>
      <c r="E27" s="10">
        <v>-0.2</v>
      </c>
      <c r="F27" s="10">
        <v>0</v>
      </c>
      <c r="G27" s="10">
        <v>1</v>
      </c>
      <c r="H27" s="10">
        <v>0</v>
      </c>
      <c r="I27" s="10">
        <v>13.5</v>
      </c>
      <c r="J27" s="10">
        <v>1</v>
      </c>
      <c r="K27" s="10">
        <v>1</v>
      </c>
      <c r="L27" s="10">
        <v>0</v>
      </c>
      <c r="M27" s="10">
        <v>0</v>
      </c>
      <c r="N27" s="10">
        <v>0</v>
      </c>
      <c r="O27" s="10">
        <v>0</v>
      </c>
      <c r="P27" s="10">
        <v>2.2000000000000002</v>
      </c>
      <c r="Q27" s="10">
        <v>6</v>
      </c>
      <c r="R27" s="10">
        <v>4</v>
      </c>
      <c r="S27" s="10">
        <v>4</v>
      </c>
      <c r="T27" s="10">
        <v>3</v>
      </c>
      <c r="U27" s="10">
        <v>3</v>
      </c>
      <c r="V27" s="10">
        <v>0</v>
      </c>
      <c r="W27" s="10">
        <v>3</v>
      </c>
      <c r="X27" s="10">
        <v>0</v>
      </c>
      <c r="Y27" s="10">
        <v>0</v>
      </c>
      <c r="Z27" s="10">
        <v>0</v>
      </c>
      <c r="AA27" s="10">
        <v>17</v>
      </c>
      <c r="AB27" s="10">
        <v>36</v>
      </c>
      <c r="AC27" s="10">
        <v>18.920000000000002</v>
      </c>
      <c r="AD27" s="10">
        <v>3.375</v>
      </c>
      <c r="AE27" s="10">
        <v>20.3</v>
      </c>
      <c r="AF27" s="10">
        <v>10.1</v>
      </c>
      <c r="AG27" s="10">
        <v>10.1</v>
      </c>
      <c r="AH27" s="10">
        <v>10.1</v>
      </c>
      <c r="AI27" s="10">
        <v>1</v>
      </c>
      <c r="AJ27" s="10" t="s">
        <v>37</v>
      </c>
      <c r="AK27" s="10" t="s">
        <v>587</v>
      </c>
      <c r="AL27" s="10" t="s">
        <v>838</v>
      </c>
      <c r="AM27" s="10" t="s">
        <v>823</v>
      </c>
      <c r="AN27" s="67" t="str">
        <f>IFERROR(VLOOKUP(B27,'KC Salary 2024'!$A$1:$I$36,7, FALSE), "No salary data")</f>
        <v>No salary data</v>
      </c>
    </row>
    <row r="28" spans="1:40" x14ac:dyDescent="0.25">
      <c r="A28" s="9">
        <v>27</v>
      </c>
      <c r="B28" s="9" t="s">
        <v>588</v>
      </c>
      <c r="C28" s="9">
        <v>26</v>
      </c>
      <c r="D28" s="9" t="s">
        <v>37</v>
      </c>
      <c r="E28" s="9">
        <v>0</v>
      </c>
      <c r="F28" s="9">
        <v>0</v>
      </c>
      <c r="G28" s="9">
        <v>0</v>
      </c>
      <c r="H28" s="9"/>
      <c r="I28" s="9">
        <v>4.5</v>
      </c>
      <c r="J28" s="9">
        <v>2</v>
      </c>
      <c r="K28" s="9">
        <v>0</v>
      </c>
      <c r="L28" s="9">
        <v>1</v>
      </c>
      <c r="M28" s="9">
        <v>0</v>
      </c>
      <c r="N28" s="9">
        <v>0</v>
      </c>
      <c r="O28" s="9">
        <v>0</v>
      </c>
      <c r="P28" s="9">
        <v>2</v>
      </c>
      <c r="Q28" s="9">
        <v>4</v>
      </c>
      <c r="R28" s="9">
        <v>2</v>
      </c>
      <c r="S28" s="9">
        <v>1</v>
      </c>
      <c r="T28" s="9">
        <v>0</v>
      </c>
      <c r="U28" s="9">
        <v>1</v>
      </c>
      <c r="V28" s="9">
        <v>0</v>
      </c>
      <c r="W28" s="9">
        <v>2</v>
      </c>
      <c r="X28" s="9">
        <v>0</v>
      </c>
      <c r="Y28" s="9">
        <v>0</v>
      </c>
      <c r="Z28" s="9">
        <v>0</v>
      </c>
      <c r="AA28" s="9">
        <v>11</v>
      </c>
      <c r="AB28" s="9">
        <v>111</v>
      </c>
      <c r="AC28" s="9">
        <v>2.67</v>
      </c>
      <c r="AD28" s="9">
        <v>2.5</v>
      </c>
      <c r="AE28" s="9">
        <v>18</v>
      </c>
      <c r="AF28" s="9">
        <v>0</v>
      </c>
      <c r="AG28" s="9">
        <v>4.5</v>
      </c>
      <c r="AH28" s="9">
        <v>9</v>
      </c>
      <c r="AI28" s="9">
        <v>2</v>
      </c>
      <c r="AJ28" s="9" t="s">
        <v>37</v>
      </c>
      <c r="AK28" s="9" t="s">
        <v>589</v>
      </c>
      <c r="AL28" s="9" t="s">
        <v>838</v>
      </c>
      <c r="AM28" s="9" t="s">
        <v>823</v>
      </c>
      <c r="AN28" s="67" t="str">
        <f>IFERROR(VLOOKUP(B28,'KC Salary 2024'!$A$1:$I$36,7, FALSE), "No salary data")</f>
        <v>No salary data</v>
      </c>
    </row>
    <row r="29" spans="1:40" x14ac:dyDescent="0.25">
      <c r="A29" s="10">
        <v>28</v>
      </c>
      <c r="B29" s="10" t="s">
        <v>513</v>
      </c>
      <c r="C29" s="10">
        <v>29</v>
      </c>
      <c r="D29" s="10" t="s">
        <v>37</v>
      </c>
      <c r="E29" s="10">
        <v>0</v>
      </c>
      <c r="F29" s="10">
        <v>0</v>
      </c>
      <c r="G29" s="10">
        <v>0</v>
      </c>
      <c r="H29" s="10"/>
      <c r="I29" s="10">
        <v>0</v>
      </c>
      <c r="J29" s="10">
        <v>1</v>
      </c>
      <c r="K29" s="10">
        <v>0</v>
      </c>
      <c r="L29" s="10">
        <v>1</v>
      </c>
      <c r="M29" s="10">
        <v>0</v>
      </c>
      <c r="N29" s="10">
        <v>0</v>
      </c>
      <c r="O29" s="10">
        <v>0</v>
      </c>
      <c r="P29" s="10">
        <v>1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1</v>
      </c>
      <c r="Y29" s="10">
        <v>0</v>
      </c>
      <c r="Z29" s="10">
        <v>0</v>
      </c>
      <c r="AA29" s="10">
        <v>4</v>
      </c>
      <c r="AB29" s="10"/>
      <c r="AC29" s="10">
        <v>6.17</v>
      </c>
      <c r="AD29" s="10">
        <v>0</v>
      </c>
      <c r="AE29" s="10">
        <v>0</v>
      </c>
      <c r="AF29" s="10">
        <v>0</v>
      </c>
      <c r="AG29" s="10">
        <v>0</v>
      </c>
      <c r="AH29" s="10">
        <v>0</v>
      </c>
      <c r="AI29" s="10"/>
      <c r="AJ29" s="10" t="s">
        <v>37</v>
      </c>
      <c r="AK29" s="10" t="s">
        <v>515</v>
      </c>
      <c r="AL29" s="10" t="s">
        <v>838</v>
      </c>
      <c r="AM29" s="10" t="s">
        <v>823</v>
      </c>
      <c r="AN29" s="67">
        <f>IFERROR(VLOOKUP(B29,'KC Salary 2024'!$A$1:$I$36,7, FALSE), "No salary data")</f>
        <v>2000000</v>
      </c>
    </row>
    <row r="30" spans="1:40" x14ac:dyDescent="0.25">
      <c r="A30" s="9">
        <v>29</v>
      </c>
      <c r="B30" s="9" t="s">
        <v>590</v>
      </c>
      <c r="C30" s="9">
        <v>25</v>
      </c>
      <c r="D30" s="9" t="s">
        <v>37</v>
      </c>
      <c r="E30" s="9">
        <v>0</v>
      </c>
      <c r="F30" s="9">
        <v>0</v>
      </c>
      <c r="G30" s="9">
        <v>0</v>
      </c>
      <c r="H30" s="9"/>
      <c r="I30" s="9">
        <v>0</v>
      </c>
      <c r="J30" s="9">
        <v>1</v>
      </c>
      <c r="K30" s="9">
        <v>0</v>
      </c>
      <c r="L30" s="9">
        <v>1</v>
      </c>
      <c r="M30" s="9">
        <v>0</v>
      </c>
      <c r="N30" s="9">
        <v>0</v>
      </c>
      <c r="O30" s="9">
        <v>0</v>
      </c>
      <c r="P30" s="9">
        <v>1</v>
      </c>
      <c r="Q30" s="9">
        <v>1</v>
      </c>
      <c r="R30" s="9">
        <v>0</v>
      </c>
      <c r="S30" s="9">
        <v>0</v>
      </c>
      <c r="T30" s="9">
        <v>0</v>
      </c>
      <c r="U30" s="9">
        <v>0</v>
      </c>
      <c r="V30" s="9">
        <v>0</v>
      </c>
      <c r="W30" s="9">
        <v>1</v>
      </c>
      <c r="X30" s="9">
        <v>0</v>
      </c>
      <c r="Y30" s="9">
        <v>0</v>
      </c>
      <c r="Z30" s="9">
        <v>1</v>
      </c>
      <c r="AA30" s="9">
        <v>4</v>
      </c>
      <c r="AB30" s="9"/>
      <c r="AC30" s="9">
        <v>1.17</v>
      </c>
      <c r="AD30" s="9">
        <v>1</v>
      </c>
      <c r="AE30" s="9">
        <v>9</v>
      </c>
      <c r="AF30" s="9">
        <v>0</v>
      </c>
      <c r="AG30" s="9">
        <v>0</v>
      </c>
      <c r="AH30" s="9">
        <v>9</v>
      </c>
      <c r="AI30" s="9"/>
      <c r="AJ30" s="9" t="s">
        <v>37</v>
      </c>
      <c r="AK30" s="9" t="s">
        <v>591</v>
      </c>
      <c r="AL30" s="9" t="s">
        <v>838</v>
      </c>
      <c r="AM30" s="9" t="s">
        <v>823</v>
      </c>
      <c r="AN30" s="67" t="str">
        <f>IFERROR(VLOOKUP(B30,'KC Salary 2024'!$A$1:$I$36,7, FALSE), "No salary data")</f>
        <v>No salary data</v>
      </c>
    </row>
    <row r="31" spans="1:40" x14ac:dyDescent="0.25">
      <c r="A31" s="10">
        <v>30</v>
      </c>
      <c r="B31" s="10" t="s">
        <v>516</v>
      </c>
      <c r="C31" s="10">
        <v>25</v>
      </c>
      <c r="D31" s="10" t="s">
        <v>37</v>
      </c>
      <c r="E31" s="10">
        <v>0</v>
      </c>
      <c r="F31" s="10">
        <v>0</v>
      </c>
      <c r="G31" s="10">
        <v>0</v>
      </c>
      <c r="H31" s="10"/>
      <c r="I31" s="10">
        <v>0</v>
      </c>
      <c r="J31" s="10">
        <v>1</v>
      </c>
      <c r="K31" s="10">
        <v>0</v>
      </c>
      <c r="L31" s="10">
        <v>1</v>
      </c>
      <c r="M31" s="10">
        <v>0</v>
      </c>
      <c r="N31" s="10">
        <v>0</v>
      </c>
      <c r="O31" s="10">
        <v>0</v>
      </c>
      <c r="P31" s="10">
        <v>1</v>
      </c>
      <c r="Q31" s="10">
        <v>1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3</v>
      </c>
      <c r="AB31" s="10"/>
      <c r="AC31" s="10">
        <v>3.17</v>
      </c>
      <c r="AD31" s="10">
        <v>1</v>
      </c>
      <c r="AE31" s="10">
        <v>9</v>
      </c>
      <c r="AF31" s="10">
        <v>0</v>
      </c>
      <c r="AG31" s="10">
        <v>0</v>
      </c>
      <c r="AH31" s="10">
        <v>0</v>
      </c>
      <c r="AI31" s="10"/>
      <c r="AJ31" s="10" t="s">
        <v>37</v>
      </c>
      <c r="AK31" s="10" t="s">
        <v>518</v>
      </c>
      <c r="AL31" s="10" t="s">
        <v>838</v>
      </c>
      <c r="AM31" s="10" t="s">
        <v>823</v>
      </c>
      <c r="AN31" s="67" t="str">
        <f>IFERROR(VLOOKUP(B31,'KC Salary 2024'!$A$1:$I$36,7, FALSE), "No salary data")</f>
        <v>No salary data</v>
      </c>
    </row>
    <row r="32" spans="1:40" x14ac:dyDescent="0.25">
      <c r="A32" s="12">
        <v>31</v>
      </c>
      <c r="B32" s="12" t="s">
        <v>592</v>
      </c>
      <c r="C32" s="12">
        <v>26</v>
      </c>
      <c r="D32" s="12" t="s">
        <v>37</v>
      </c>
      <c r="E32" s="12">
        <v>0</v>
      </c>
      <c r="F32" s="12">
        <v>0</v>
      </c>
      <c r="G32" s="12">
        <v>0</v>
      </c>
      <c r="H32" s="12"/>
      <c r="I32" s="12">
        <v>0</v>
      </c>
      <c r="J32" s="12">
        <v>1</v>
      </c>
      <c r="K32" s="12">
        <v>0</v>
      </c>
      <c r="L32" s="12">
        <v>1</v>
      </c>
      <c r="M32" s="12">
        <v>0</v>
      </c>
      <c r="N32" s="12">
        <v>0</v>
      </c>
      <c r="O32" s="12">
        <v>0</v>
      </c>
      <c r="P32" s="12">
        <v>0.2</v>
      </c>
      <c r="Q32" s="12">
        <v>0</v>
      </c>
      <c r="R32" s="12">
        <v>0</v>
      </c>
      <c r="S32" s="12">
        <v>0</v>
      </c>
      <c r="T32" s="12">
        <v>0</v>
      </c>
      <c r="U32" s="12">
        <v>0</v>
      </c>
      <c r="V32" s="12">
        <v>0</v>
      </c>
      <c r="W32" s="12">
        <v>1</v>
      </c>
      <c r="X32" s="12">
        <v>0</v>
      </c>
      <c r="Y32" s="12">
        <v>0</v>
      </c>
      <c r="Z32" s="12">
        <v>0</v>
      </c>
      <c r="AA32" s="12">
        <v>2</v>
      </c>
      <c r="AB32" s="12"/>
      <c r="AC32" s="12">
        <v>0.17</v>
      </c>
      <c r="AD32" s="12">
        <v>0</v>
      </c>
      <c r="AE32" s="12">
        <v>0</v>
      </c>
      <c r="AF32" s="12">
        <v>0</v>
      </c>
      <c r="AG32" s="12">
        <v>0</v>
      </c>
      <c r="AH32" s="12">
        <v>13.5</v>
      </c>
      <c r="AI32" s="12"/>
      <c r="AJ32" s="12" t="s">
        <v>37</v>
      </c>
      <c r="AK32" s="12" t="s">
        <v>593</v>
      </c>
      <c r="AL32" s="12" t="s">
        <v>838</v>
      </c>
      <c r="AM32" s="12" t="s">
        <v>823</v>
      </c>
      <c r="AN32" s="67" t="str">
        <f>IFERROR(VLOOKUP(B32,'KC Salary 2024'!$A$1:$I$36,7, FALSE), "No salary data")</f>
        <v>No salary data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E30FFA-4120-4797-B93F-EB66949FF50F}">
  <sheetPr codeName="Sheet12"/>
  <dimension ref="A1:L36"/>
  <sheetViews>
    <sheetView workbookViewId="0">
      <selection activeCell="H2" sqref="H2"/>
    </sheetView>
  </sheetViews>
  <sheetFormatPr defaultRowHeight="15" x14ac:dyDescent="0.25"/>
  <cols>
    <col min="1" max="1" width="18.5703125" bestFit="1" customWidth="1"/>
    <col min="4" max="4" width="24.7109375" bestFit="1" customWidth="1"/>
    <col min="5" max="5" width="14.28515625" style="1" bestFit="1" customWidth="1"/>
    <col min="6" max="6" width="14.140625" customWidth="1"/>
    <col min="7" max="7" width="14.28515625" style="1" bestFit="1" customWidth="1"/>
    <col min="8" max="8" width="14.85546875" style="1" customWidth="1"/>
    <col min="9" max="9" width="15.5703125" customWidth="1"/>
    <col min="12" max="12" width="13.28515625" bestFit="1" customWidth="1"/>
  </cols>
  <sheetData>
    <row r="1" spans="1:12" x14ac:dyDescent="0.25">
      <c r="A1" s="33" t="s">
        <v>1</v>
      </c>
      <c r="B1" s="33" t="s">
        <v>3</v>
      </c>
      <c r="C1" s="33" t="s">
        <v>2</v>
      </c>
      <c r="D1" s="33" t="s">
        <v>718</v>
      </c>
      <c r="E1" s="34" t="s">
        <v>719</v>
      </c>
      <c r="F1" s="33" t="s">
        <v>720</v>
      </c>
      <c r="G1" s="34" t="s">
        <v>721</v>
      </c>
      <c r="H1" s="34" t="s">
        <v>722</v>
      </c>
      <c r="I1" s="33" t="s">
        <v>723</v>
      </c>
      <c r="L1" s="2" t="s">
        <v>833</v>
      </c>
    </row>
    <row r="2" spans="1:12" x14ac:dyDescent="0.25">
      <c r="A2" s="10" t="s">
        <v>488</v>
      </c>
      <c r="B2" s="51" t="s">
        <v>47</v>
      </c>
      <c r="C2" s="51">
        <v>24</v>
      </c>
      <c r="D2" s="51" t="s">
        <v>779</v>
      </c>
      <c r="E2" s="52">
        <v>26252525</v>
      </c>
      <c r="F2" s="53">
        <v>0.1108</v>
      </c>
      <c r="G2" s="52">
        <v>9777777</v>
      </c>
      <c r="H2" s="52">
        <v>3111111</v>
      </c>
      <c r="I2" s="51">
        <v>2038</v>
      </c>
    </row>
    <row r="3" spans="1:12" x14ac:dyDescent="0.25">
      <c r="A3" s="10" t="s">
        <v>478</v>
      </c>
      <c r="B3" s="10" t="s">
        <v>35</v>
      </c>
      <c r="C3" s="10">
        <v>34</v>
      </c>
      <c r="D3" s="10" t="s">
        <v>725</v>
      </c>
      <c r="E3" s="54">
        <v>20500000</v>
      </c>
      <c r="F3" s="55">
        <v>8.6499999999999994E-2</v>
      </c>
      <c r="G3" s="54">
        <v>20000000</v>
      </c>
      <c r="H3" s="54">
        <v>20000000</v>
      </c>
      <c r="I3" s="10">
        <v>2027</v>
      </c>
    </row>
    <row r="4" spans="1:12" x14ac:dyDescent="0.25">
      <c r="A4" s="9" t="s">
        <v>550</v>
      </c>
      <c r="B4" s="9" t="s">
        <v>160</v>
      </c>
      <c r="C4" s="9">
        <v>33</v>
      </c>
      <c r="D4" s="9" t="s">
        <v>725</v>
      </c>
      <c r="E4" s="56">
        <v>16000000</v>
      </c>
      <c r="F4" s="57">
        <v>6.7500000000000004E-2</v>
      </c>
      <c r="G4" s="56">
        <v>16450000</v>
      </c>
      <c r="H4" s="56">
        <v>16450000</v>
      </c>
      <c r="I4" s="9"/>
    </row>
    <row r="5" spans="1:12" x14ac:dyDescent="0.25">
      <c r="A5" s="10" t="s">
        <v>542</v>
      </c>
      <c r="B5" s="10" t="s">
        <v>160</v>
      </c>
      <c r="C5" s="10">
        <v>34</v>
      </c>
      <c r="D5" s="10" t="s">
        <v>725</v>
      </c>
      <c r="E5" s="54">
        <v>15000000</v>
      </c>
      <c r="F5" s="55">
        <v>6.3299999999999995E-2</v>
      </c>
      <c r="G5" s="54">
        <v>15000000</v>
      </c>
      <c r="H5" s="54">
        <v>15000000</v>
      </c>
      <c r="I5" s="10">
        <v>2027</v>
      </c>
    </row>
    <row r="6" spans="1:12" x14ac:dyDescent="0.25">
      <c r="A6" s="9" t="s">
        <v>501</v>
      </c>
      <c r="B6" s="9" t="s">
        <v>62</v>
      </c>
      <c r="C6" s="9">
        <v>32</v>
      </c>
      <c r="D6" s="9" t="s">
        <v>725</v>
      </c>
      <c r="E6" s="56">
        <v>6500000</v>
      </c>
      <c r="F6" s="57">
        <v>2.7400000000000001E-2</v>
      </c>
      <c r="G6" s="56">
        <v>5570000</v>
      </c>
      <c r="H6" s="56">
        <v>5570000</v>
      </c>
      <c r="I6" s="9">
        <v>2026</v>
      </c>
    </row>
    <row r="7" spans="1:12" x14ac:dyDescent="0.25">
      <c r="A7" s="10" t="s">
        <v>548</v>
      </c>
      <c r="B7" s="10" t="s">
        <v>160</v>
      </c>
      <c r="C7" s="10">
        <v>27</v>
      </c>
      <c r="D7" s="10" t="s">
        <v>780</v>
      </c>
      <c r="E7" s="54">
        <v>4850000</v>
      </c>
      <c r="F7" s="55">
        <v>2.0500000000000001E-2</v>
      </c>
      <c r="G7" s="54">
        <v>4850000</v>
      </c>
      <c r="H7" s="54">
        <v>4850000</v>
      </c>
      <c r="I7" s="10"/>
    </row>
    <row r="8" spans="1:12" x14ac:dyDescent="0.25">
      <c r="A8" s="9" t="s">
        <v>781</v>
      </c>
      <c r="B8" s="9" t="s">
        <v>171</v>
      </c>
      <c r="C8" s="9">
        <v>26</v>
      </c>
      <c r="D8" s="9" t="s">
        <v>780</v>
      </c>
      <c r="E8" s="56">
        <v>2350000</v>
      </c>
      <c r="F8" s="57">
        <v>9.9000000000000008E-3</v>
      </c>
      <c r="G8" s="56">
        <v>2350000</v>
      </c>
      <c r="H8" s="56">
        <v>2350000</v>
      </c>
      <c r="I8" s="9"/>
    </row>
    <row r="9" spans="1:12" x14ac:dyDescent="0.25">
      <c r="A9" s="10" t="s">
        <v>513</v>
      </c>
      <c r="B9" s="10" t="s">
        <v>47</v>
      </c>
      <c r="C9" s="10">
        <v>29</v>
      </c>
      <c r="D9" s="10" t="s">
        <v>725</v>
      </c>
      <c r="E9" s="54">
        <v>2000000</v>
      </c>
      <c r="F9" s="55">
        <v>8.3999999999999995E-3</v>
      </c>
      <c r="G9" s="54">
        <v>2000000</v>
      </c>
      <c r="H9" s="54">
        <v>2000000</v>
      </c>
      <c r="I9" s="10">
        <v>2025</v>
      </c>
    </row>
    <row r="10" spans="1:12" x14ac:dyDescent="0.25">
      <c r="A10" s="9" t="s">
        <v>782</v>
      </c>
      <c r="B10" s="9" t="s">
        <v>10</v>
      </c>
      <c r="C10" s="9">
        <v>32</v>
      </c>
      <c r="D10" s="9" t="s">
        <v>725</v>
      </c>
      <c r="E10" s="56">
        <v>2000000</v>
      </c>
      <c r="F10" s="57">
        <v>8.3999999999999995E-3</v>
      </c>
      <c r="G10" s="56">
        <v>2000000</v>
      </c>
      <c r="H10" s="56">
        <v>2000000</v>
      </c>
      <c r="I10" s="9"/>
    </row>
    <row r="11" spans="1:12" x14ac:dyDescent="0.25">
      <c r="A11" s="10" t="s">
        <v>474</v>
      </c>
      <c r="B11" s="10" t="s">
        <v>160</v>
      </c>
      <c r="C11" s="10">
        <v>32</v>
      </c>
      <c r="D11" s="10" t="s">
        <v>725</v>
      </c>
      <c r="E11" s="54">
        <v>1500028</v>
      </c>
      <c r="F11" s="55">
        <v>6.3E-3</v>
      </c>
      <c r="G11" s="54">
        <v>2800028</v>
      </c>
      <c r="H11" s="54">
        <v>1500028</v>
      </c>
      <c r="I11" s="10"/>
    </row>
    <row r="12" spans="1:12" x14ac:dyDescent="0.25">
      <c r="A12" s="9" t="s">
        <v>73</v>
      </c>
      <c r="B12" s="9" t="s">
        <v>62</v>
      </c>
      <c r="C12" s="9">
        <v>36</v>
      </c>
      <c r="D12" s="9" t="s">
        <v>725</v>
      </c>
      <c r="E12" s="56">
        <v>1367741</v>
      </c>
      <c r="F12" s="57">
        <v>5.7999999999999996E-3</v>
      </c>
      <c r="G12" s="56">
        <v>1367741</v>
      </c>
      <c r="H12" s="56">
        <v>1367741</v>
      </c>
      <c r="I12" s="9"/>
    </row>
    <row r="13" spans="1:12" x14ac:dyDescent="0.25">
      <c r="A13" s="10" t="s">
        <v>558</v>
      </c>
      <c r="B13" s="10" t="s">
        <v>171</v>
      </c>
      <c r="C13" s="10">
        <v>30</v>
      </c>
      <c r="D13" s="10" t="s">
        <v>727</v>
      </c>
      <c r="E13" s="54">
        <v>1175000</v>
      </c>
      <c r="F13" s="55">
        <v>5.0000000000000001E-3</v>
      </c>
      <c r="G13" s="54">
        <v>1175000</v>
      </c>
      <c r="H13" s="54">
        <v>1175000</v>
      </c>
      <c r="I13" s="10"/>
    </row>
    <row r="14" spans="1:12" x14ac:dyDescent="0.25">
      <c r="A14" s="9" t="s">
        <v>783</v>
      </c>
      <c r="B14" s="9" t="s">
        <v>171</v>
      </c>
      <c r="C14" s="9">
        <v>27</v>
      </c>
      <c r="D14" s="9" t="s">
        <v>753</v>
      </c>
      <c r="E14" s="56">
        <v>1012500</v>
      </c>
      <c r="F14" s="57">
        <v>4.3E-3</v>
      </c>
      <c r="G14" s="56">
        <v>1012500</v>
      </c>
      <c r="H14" s="56">
        <v>1012500</v>
      </c>
      <c r="I14" s="9"/>
    </row>
    <row r="15" spans="1:12" x14ac:dyDescent="0.25">
      <c r="A15" s="10" t="s">
        <v>784</v>
      </c>
      <c r="B15" s="10" t="s">
        <v>58</v>
      </c>
      <c r="C15" s="10">
        <v>27</v>
      </c>
      <c r="D15" s="10" t="s">
        <v>728</v>
      </c>
      <c r="E15" s="54">
        <v>758250</v>
      </c>
      <c r="F15" s="55">
        <v>3.2000000000000002E-3</v>
      </c>
      <c r="G15" s="54">
        <v>758250</v>
      </c>
      <c r="H15" s="54">
        <v>758250</v>
      </c>
      <c r="I15" s="10"/>
    </row>
    <row r="16" spans="1:12" x14ac:dyDescent="0.25">
      <c r="A16" s="9" t="s">
        <v>785</v>
      </c>
      <c r="B16" s="9" t="s">
        <v>66</v>
      </c>
      <c r="C16" s="9">
        <v>26</v>
      </c>
      <c r="D16" s="9" t="s">
        <v>728</v>
      </c>
      <c r="E16" s="56">
        <v>757000</v>
      </c>
      <c r="F16" s="57">
        <v>3.2000000000000002E-3</v>
      </c>
      <c r="G16" s="56">
        <v>757000</v>
      </c>
      <c r="H16" s="56">
        <v>757000</v>
      </c>
      <c r="I16" s="9"/>
    </row>
    <row r="17" spans="1:9" x14ac:dyDescent="0.25">
      <c r="A17" s="10" t="s">
        <v>786</v>
      </c>
      <c r="B17" s="10" t="s">
        <v>54</v>
      </c>
      <c r="C17" s="10">
        <v>25</v>
      </c>
      <c r="D17" s="10" t="s">
        <v>728</v>
      </c>
      <c r="E17" s="54">
        <v>754750</v>
      </c>
      <c r="F17" s="55">
        <v>3.2000000000000002E-3</v>
      </c>
      <c r="G17" s="54">
        <v>754750</v>
      </c>
      <c r="H17" s="54">
        <v>754750</v>
      </c>
      <c r="I17" s="10"/>
    </row>
    <row r="18" spans="1:9" x14ac:dyDescent="0.25">
      <c r="A18" s="9" t="s">
        <v>787</v>
      </c>
      <c r="B18" s="9" t="s">
        <v>160</v>
      </c>
      <c r="C18" s="9">
        <v>26</v>
      </c>
      <c r="D18" s="9" t="s">
        <v>728</v>
      </c>
      <c r="E18" s="56">
        <v>753750</v>
      </c>
      <c r="F18" s="57">
        <v>3.2000000000000002E-3</v>
      </c>
      <c r="G18" s="56">
        <v>2391763</v>
      </c>
      <c r="H18" s="56">
        <v>753750</v>
      </c>
      <c r="I18" s="9"/>
    </row>
    <row r="19" spans="1:9" x14ac:dyDescent="0.25">
      <c r="A19" s="10" t="s">
        <v>492</v>
      </c>
      <c r="B19" s="10" t="s">
        <v>10</v>
      </c>
      <c r="C19" s="10">
        <v>24</v>
      </c>
      <c r="D19" s="10" t="s">
        <v>728</v>
      </c>
      <c r="E19" s="54">
        <v>751250</v>
      </c>
      <c r="F19" s="55">
        <v>3.2000000000000002E-3</v>
      </c>
      <c r="G19" s="54">
        <v>751250</v>
      </c>
      <c r="H19" s="54">
        <v>751250</v>
      </c>
      <c r="I19" s="10"/>
    </row>
    <row r="20" spans="1:9" x14ac:dyDescent="0.25">
      <c r="A20" s="9" t="s">
        <v>788</v>
      </c>
      <c r="B20" s="9" t="s">
        <v>35</v>
      </c>
      <c r="C20" s="9">
        <v>29</v>
      </c>
      <c r="D20" s="9" t="s">
        <v>728</v>
      </c>
      <c r="E20" s="56">
        <v>744500</v>
      </c>
      <c r="F20" s="57">
        <v>3.0999999999999999E-3</v>
      </c>
      <c r="G20" s="56">
        <v>977319</v>
      </c>
      <c r="H20" s="56">
        <v>744500</v>
      </c>
      <c r="I20" s="9"/>
    </row>
    <row r="21" spans="1:9" x14ac:dyDescent="0.25">
      <c r="A21" s="10" t="s">
        <v>519</v>
      </c>
      <c r="B21" s="10" t="s">
        <v>74</v>
      </c>
      <c r="C21" s="10">
        <v>31</v>
      </c>
      <c r="D21" s="10" t="s">
        <v>728</v>
      </c>
      <c r="E21" s="54">
        <v>743750</v>
      </c>
      <c r="F21" s="55">
        <v>3.0999999999999999E-3</v>
      </c>
      <c r="G21" s="54">
        <v>743750</v>
      </c>
      <c r="H21" s="54">
        <v>743750</v>
      </c>
      <c r="I21" s="10"/>
    </row>
    <row r="22" spans="1:9" x14ac:dyDescent="0.25">
      <c r="A22" s="9" t="s">
        <v>46</v>
      </c>
      <c r="B22" s="9" t="s">
        <v>11</v>
      </c>
      <c r="C22" s="9">
        <v>30</v>
      </c>
      <c r="D22" s="9" t="s">
        <v>725</v>
      </c>
      <c r="E22" s="56">
        <v>714540</v>
      </c>
      <c r="F22" s="57">
        <v>3.0000000000000001E-3</v>
      </c>
      <c r="G22" s="56">
        <v>714540</v>
      </c>
      <c r="H22" s="56">
        <v>714540</v>
      </c>
      <c r="I22" s="9"/>
    </row>
    <row r="23" spans="1:9" x14ac:dyDescent="0.25">
      <c r="A23" s="10" t="s">
        <v>789</v>
      </c>
      <c r="B23" s="10" t="s">
        <v>171</v>
      </c>
      <c r="C23" s="10">
        <v>24</v>
      </c>
      <c r="D23" s="10" t="s">
        <v>728</v>
      </c>
      <c r="E23" s="54">
        <v>671841</v>
      </c>
      <c r="F23" s="55">
        <v>2.8E-3</v>
      </c>
      <c r="G23" s="54">
        <v>671841</v>
      </c>
      <c r="H23" s="54">
        <v>671841</v>
      </c>
      <c r="I23" s="10"/>
    </row>
    <row r="24" spans="1:9" x14ac:dyDescent="0.25">
      <c r="A24" s="9" t="s">
        <v>552</v>
      </c>
      <c r="B24" s="9" t="s">
        <v>160</v>
      </c>
      <c r="C24" s="9">
        <v>26</v>
      </c>
      <c r="D24" s="9" t="s">
        <v>728</v>
      </c>
      <c r="E24" s="56">
        <v>620620</v>
      </c>
      <c r="F24" s="57">
        <v>2.5999999999999999E-3</v>
      </c>
      <c r="G24" s="56">
        <v>620620</v>
      </c>
      <c r="H24" s="56">
        <v>620620</v>
      </c>
      <c r="I24" s="9"/>
    </row>
    <row r="25" spans="1:9" x14ac:dyDescent="0.25">
      <c r="A25" s="10" t="s">
        <v>790</v>
      </c>
      <c r="B25" s="10" t="s">
        <v>171</v>
      </c>
      <c r="C25" s="10">
        <v>28</v>
      </c>
      <c r="D25" s="10" t="s">
        <v>728</v>
      </c>
      <c r="E25" s="54">
        <v>525096</v>
      </c>
      <c r="F25" s="55">
        <v>2.2000000000000001E-3</v>
      </c>
      <c r="G25" s="54">
        <v>525096</v>
      </c>
      <c r="H25" s="54">
        <v>525096</v>
      </c>
      <c r="I25" s="10"/>
    </row>
    <row r="26" spans="1:9" x14ac:dyDescent="0.25">
      <c r="A26" s="9" t="s">
        <v>570</v>
      </c>
      <c r="B26" s="9" t="s">
        <v>171</v>
      </c>
      <c r="C26" s="9">
        <v>29</v>
      </c>
      <c r="D26" s="9" t="s">
        <v>728</v>
      </c>
      <c r="E26" s="56">
        <v>241920</v>
      </c>
      <c r="F26" s="57">
        <v>1E-3</v>
      </c>
      <c r="G26" s="56">
        <v>750000</v>
      </c>
      <c r="H26" s="56">
        <v>241920</v>
      </c>
      <c r="I26" s="9"/>
    </row>
    <row r="27" spans="1:9" x14ac:dyDescent="0.25">
      <c r="A27" s="10" t="s">
        <v>791</v>
      </c>
      <c r="B27" s="10" t="s">
        <v>62</v>
      </c>
      <c r="C27" s="10">
        <v>34</v>
      </c>
      <c r="D27" s="10" t="s">
        <v>725</v>
      </c>
      <c r="E27" s="54">
        <v>233885</v>
      </c>
      <c r="F27" s="55">
        <v>1E-3</v>
      </c>
      <c r="G27" s="54">
        <v>233885</v>
      </c>
      <c r="H27" s="54">
        <v>233885</v>
      </c>
      <c r="I27" s="10">
        <v>2025</v>
      </c>
    </row>
    <row r="28" spans="1:9" x14ac:dyDescent="0.25">
      <c r="A28" s="9" t="s">
        <v>792</v>
      </c>
      <c r="B28" s="9" t="s">
        <v>171</v>
      </c>
      <c r="C28" s="9">
        <v>27</v>
      </c>
      <c r="D28" s="9" t="s">
        <v>728</v>
      </c>
      <c r="E28" s="56">
        <v>202878</v>
      </c>
      <c r="F28" s="57">
        <v>8.9999999999999998E-4</v>
      </c>
      <c r="G28" s="56">
        <v>202878</v>
      </c>
      <c r="H28" s="56">
        <v>202878</v>
      </c>
      <c r="I28" s="9"/>
    </row>
    <row r="29" spans="1:9" x14ac:dyDescent="0.25">
      <c r="A29" s="10" t="s">
        <v>793</v>
      </c>
      <c r="B29" s="10" t="s">
        <v>40</v>
      </c>
      <c r="C29" s="10">
        <v>40</v>
      </c>
      <c r="D29" s="10" t="s">
        <v>725</v>
      </c>
      <c r="E29" s="54">
        <v>150538</v>
      </c>
      <c r="F29" s="55">
        <v>5.9999999999999995E-4</v>
      </c>
      <c r="G29" s="54">
        <v>150537</v>
      </c>
      <c r="H29" s="54">
        <v>150538</v>
      </c>
      <c r="I29" s="10">
        <v>2025</v>
      </c>
    </row>
    <row r="30" spans="1:9" x14ac:dyDescent="0.25">
      <c r="A30" s="58" t="s">
        <v>794</v>
      </c>
      <c r="B30" s="58" t="s">
        <v>171</v>
      </c>
      <c r="C30" s="58">
        <v>34</v>
      </c>
      <c r="D30" s="58" t="s">
        <v>725</v>
      </c>
      <c r="E30" s="59">
        <v>5000000</v>
      </c>
      <c r="F30" s="60">
        <v>2.1100000000000001E-2</v>
      </c>
      <c r="G30" s="59">
        <v>5625000</v>
      </c>
      <c r="H30" s="59">
        <v>5625000</v>
      </c>
      <c r="I30" s="58">
        <v>2025</v>
      </c>
    </row>
    <row r="31" spans="1:9" x14ac:dyDescent="0.25">
      <c r="A31" s="58" t="s">
        <v>554</v>
      </c>
      <c r="B31" s="58" t="s">
        <v>171</v>
      </c>
      <c r="C31" s="58">
        <v>33</v>
      </c>
      <c r="D31" s="58" t="s">
        <v>725</v>
      </c>
      <c r="E31" s="59">
        <v>4000000</v>
      </c>
      <c r="F31" s="60">
        <v>1.6899999999999998E-2</v>
      </c>
      <c r="G31" s="59">
        <v>3500000</v>
      </c>
      <c r="H31" s="59">
        <v>3500000</v>
      </c>
      <c r="I31" s="58">
        <v>2026</v>
      </c>
    </row>
    <row r="32" spans="1:9" x14ac:dyDescent="0.25">
      <c r="A32" s="58" t="s">
        <v>795</v>
      </c>
      <c r="B32" s="58" t="s">
        <v>160</v>
      </c>
      <c r="C32" s="58">
        <v>28</v>
      </c>
      <c r="D32" s="58" t="s">
        <v>727</v>
      </c>
      <c r="E32" s="59">
        <v>1800000</v>
      </c>
      <c r="F32" s="60">
        <v>7.6E-3</v>
      </c>
      <c r="G32" s="59">
        <v>1800000</v>
      </c>
      <c r="H32" s="59">
        <v>1800000</v>
      </c>
      <c r="I32" s="58"/>
    </row>
    <row r="33" spans="1:9" x14ac:dyDescent="0.25">
      <c r="A33" s="58" t="s">
        <v>796</v>
      </c>
      <c r="B33" s="58" t="s">
        <v>171</v>
      </c>
      <c r="C33" s="58">
        <v>31</v>
      </c>
      <c r="D33" s="58" t="s">
        <v>751</v>
      </c>
      <c r="E33" s="59">
        <v>1100000</v>
      </c>
      <c r="F33" s="60">
        <v>4.5999999999999999E-3</v>
      </c>
      <c r="G33" s="59">
        <v>1100000</v>
      </c>
      <c r="H33" s="59">
        <v>1100000</v>
      </c>
      <c r="I33" s="58">
        <v>2026</v>
      </c>
    </row>
    <row r="34" spans="1:9" x14ac:dyDescent="0.25">
      <c r="A34" s="58" t="s">
        <v>540</v>
      </c>
      <c r="B34" s="58" t="s">
        <v>797</v>
      </c>
      <c r="C34" s="58">
        <v>29</v>
      </c>
      <c r="D34" s="58" t="s">
        <v>726</v>
      </c>
      <c r="E34" s="59">
        <v>962500</v>
      </c>
      <c r="F34" s="60">
        <v>4.1000000000000003E-3</v>
      </c>
      <c r="G34" s="59">
        <v>962500</v>
      </c>
      <c r="H34" s="59">
        <v>962500</v>
      </c>
      <c r="I34" s="58"/>
    </row>
    <row r="35" spans="1:9" x14ac:dyDescent="0.25">
      <c r="A35" s="58" t="s">
        <v>798</v>
      </c>
      <c r="B35" s="58" t="s">
        <v>40</v>
      </c>
      <c r="C35" s="58">
        <v>26</v>
      </c>
      <c r="D35" s="58" t="s">
        <v>728</v>
      </c>
      <c r="E35" s="59">
        <v>752750</v>
      </c>
      <c r="F35" s="60">
        <v>3.2000000000000002E-3</v>
      </c>
      <c r="G35" s="59">
        <v>752750</v>
      </c>
      <c r="H35" s="59">
        <v>752750</v>
      </c>
      <c r="I35" s="58"/>
    </row>
    <row r="36" spans="1:9" x14ac:dyDescent="0.25">
      <c r="A36" s="61" t="s">
        <v>538</v>
      </c>
      <c r="B36" s="61" t="s">
        <v>171</v>
      </c>
      <c r="C36" s="61">
        <v>27</v>
      </c>
      <c r="D36" s="61" t="s">
        <v>728</v>
      </c>
      <c r="E36" s="62">
        <v>745750</v>
      </c>
      <c r="F36" s="63">
        <v>3.0999999999999999E-3</v>
      </c>
      <c r="G36" s="62">
        <v>745750</v>
      </c>
      <c r="H36" s="62">
        <v>745750</v>
      </c>
      <c r="I36" s="61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7AC7A2-2ED9-4EB5-BBC1-16EE8B4FFC5E}">
  <sheetPr codeName="Sheet13"/>
  <dimension ref="A1:AK22"/>
  <sheetViews>
    <sheetView topLeftCell="S2" workbookViewId="0">
      <selection activeCell="A2" sqref="A2:AK22"/>
    </sheetView>
  </sheetViews>
  <sheetFormatPr defaultRowHeight="15" x14ac:dyDescent="0.25"/>
  <cols>
    <col min="1" max="1" width="5.28515625" bestFit="1" customWidth="1"/>
    <col min="2" max="2" width="15.5703125" bestFit="1" customWidth="1"/>
    <col min="3" max="4" width="6.140625" bestFit="1" customWidth="1"/>
    <col min="5" max="5" width="7" bestFit="1" customWidth="1"/>
    <col min="6" max="6" width="4.42578125" bestFit="1" customWidth="1"/>
    <col min="7" max="8" width="5.28515625" bestFit="1" customWidth="1"/>
    <col min="9" max="9" width="4.28515625" bestFit="1" customWidth="1"/>
    <col min="10" max="10" width="4.42578125" bestFit="1" customWidth="1"/>
    <col min="11" max="12" width="5.140625" bestFit="1" customWidth="1"/>
    <col min="13" max="13" width="5.5703125" bestFit="1" customWidth="1"/>
    <col min="14" max="14" width="5.85546875" bestFit="1" customWidth="1"/>
    <col min="15" max="15" width="5.28515625" bestFit="1" customWidth="1"/>
    <col min="16" max="16" width="5.42578125" bestFit="1" customWidth="1"/>
    <col min="17" max="17" width="5.28515625" bestFit="1" customWidth="1"/>
    <col min="18" max="18" width="5.42578125" bestFit="1" customWidth="1"/>
    <col min="19" max="19" width="5.85546875" bestFit="1" customWidth="1"/>
    <col min="20" max="20" width="6.5703125" bestFit="1" customWidth="1"/>
    <col min="21" max="21" width="6.42578125" bestFit="1" customWidth="1"/>
    <col min="22" max="22" width="6.5703125" bestFit="1" customWidth="1"/>
    <col min="23" max="23" width="7.5703125" bestFit="1" customWidth="1"/>
    <col min="24" max="24" width="7.140625" bestFit="1" customWidth="1"/>
    <col min="25" max="25" width="8" bestFit="1" customWidth="1"/>
    <col min="26" max="26" width="5.140625" bestFit="1" customWidth="1"/>
    <col min="27" max="27" width="7.28515625" bestFit="1" customWidth="1"/>
    <col min="28" max="28" width="6.5703125" bestFit="1" customWidth="1"/>
    <col min="29" max="29" width="5.42578125" bestFit="1" customWidth="1"/>
    <col min="30" max="30" width="5.140625" bestFit="1" customWidth="1"/>
    <col min="31" max="31" width="5.85546875" bestFit="1" customWidth="1"/>
    <col min="32" max="32" width="9" bestFit="1" customWidth="1"/>
    <col min="33" max="33" width="9.140625" bestFit="1" customWidth="1"/>
    <col min="34" max="34" width="17.5703125" bestFit="1" customWidth="1"/>
    <col min="35" max="35" width="24" bestFit="1" customWidth="1"/>
    <col min="37" max="37" width="14" style="1" bestFit="1" customWidth="1"/>
  </cols>
  <sheetData>
    <row r="1" spans="1:37" x14ac:dyDescent="0.25">
      <c r="A1" s="31" t="s">
        <v>0</v>
      </c>
      <c r="B1" s="31" t="s">
        <v>1</v>
      </c>
      <c r="C1" s="31" t="s">
        <v>2</v>
      </c>
      <c r="D1" s="31" t="s">
        <v>3</v>
      </c>
      <c r="E1" s="31" t="s">
        <v>4</v>
      </c>
      <c r="F1" s="31" t="s">
        <v>5</v>
      </c>
      <c r="G1" s="31" t="s">
        <v>6</v>
      </c>
      <c r="H1" s="31" t="s">
        <v>7</v>
      </c>
      <c r="I1" s="31" t="s">
        <v>8</v>
      </c>
      <c r="J1" s="31" t="s">
        <v>9</v>
      </c>
      <c r="K1" s="31" t="s">
        <v>10</v>
      </c>
      <c r="L1" s="31" t="s">
        <v>11</v>
      </c>
      <c r="M1" s="31" t="s">
        <v>12</v>
      </c>
      <c r="N1" s="31" t="s">
        <v>13</v>
      </c>
      <c r="O1" s="31" t="s">
        <v>14</v>
      </c>
      <c r="P1" s="31" t="s">
        <v>15</v>
      </c>
      <c r="Q1" s="31" t="s">
        <v>16</v>
      </c>
      <c r="R1" s="31" t="s">
        <v>17</v>
      </c>
      <c r="S1" s="31" t="s">
        <v>18</v>
      </c>
      <c r="T1" s="31" t="s">
        <v>19</v>
      </c>
      <c r="U1" s="31" t="s">
        <v>20</v>
      </c>
      <c r="V1" s="31" t="s">
        <v>21</v>
      </c>
      <c r="W1" s="31" t="s">
        <v>22</v>
      </c>
      <c r="X1" s="31" t="s">
        <v>23</v>
      </c>
      <c r="Y1" s="31" t="s">
        <v>24</v>
      </c>
      <c r="Z1" s="31" t="s">
        <v>25</v>
      </c>
      <c r="AA1" s="31" t="s">
        <v>26</v>
      </c>
      <c r="AB1" s="31" t="s">
        <v>27</v>
      </c>
      <c r="AC1" s="31" t="s">
        <v>28</v>
      </c>
      <c r="AD1" s="31" t="s">
        <v>29</v>
      </c>
      <c r="AE1" s="31" t="s">
        <v>30</v>
      </c>
      <c r="AF1" s="31" t="s">
        <v>31</v>
      </c>
      <c r="AG1" s="31" t="s">
        <v>32</v>
      </c>
      <c r="AH1" s="31" t="s">
        <v>33</v>
      </c>
      <c r="AI1" s="31" t="s">
        <v>836</v>
      </c>
      <c r="AJ1" s="31" t="s">
        <v>817</v>
      </c>
      <c r="AK1" s="48" t="s">
        <v>840</v>
      </c>
    </row>
    <row r="2" spans="1:37" x14ac:dyDescent="0.25">
      <c r="A2" s="32">
        <v>1</v>
      </c>
      <c r="B2" s="32" t="s">
        <v>596</v>
      </c>
      <c r="C2" s="32">
        <v>27</v>
      </c>
      <c r="D2" s="32" t="s">
        <v>35</v>
      </c>
      <c r="E2" s="32">
        <v>2.1</v>
      </c>
      <c r="F2" s="32">
        <v>122</v>
      </c>
      <c r="G2" s="32">
        <v>465</v>
      </c>
      <c r="H2" s="32">
        <v>412</v>
      </c>
      <c r="I2" s="32">
        <v>56</v>
      </c>
      <c r="J2" s="32">
        <v>93</v>
      </c>
      <c r="K2" s="32">
        <v>22</v>
      </c>
      <c r="L2" s="32">
        <v>0</v>
      </c>
      <c r="M2" s="32">
        <v>21</v>
      </c>
      <c r="N2" s="32">
        <v>64</v>
      </c>
      <c r="O2" s="32">
        <v>3</v>
      </c>
      <c r="P2" s="32">
        <v>0</v>
      </c>
      <c r="Q2" s="32">
        <v>32</v>
      </c>
      <c r="R2" s="32">
        <v>94</v>
      </c>
      <c r="S2" s="32">
        <v>0.22600000000000001</v>
      </c>
      <c r="T2" s="32">
        <v>0.3</v>
      </c>
      <c r="U2" s="32">
        <v>0.432</v>
      </c>
      <c r="V2" s="32">
        <v>0.73199999999999998</v>
      </c>
      <c r="W2" s="32">
        <v>103</v>
      </c>
      <c r="X2" s="32">
        <v>0.32200000000000001</v>
      </c>
      <c r="Y2" s="32">
        <v>103</v>
      </c>
      <c r="Z2" s="32">
        <v>178</v>
      </c>
      <c r="AA2" s="32">
        <v>9</v>
      </c>
      <c r="AB2" s="32">
        <v>14</v>
      </c>
      <c r="AC2" s="32">
        <v>1</v>
      </c>
      <c r="AD2" s="32">
        <v>6</v>
      </c>
      <c r="AE2" s="32">
        <v>0</v>
      </c>
      <c r="AF2" s="32" t="s">
        <v>597</v>
      </c>
      <c r="AG2" s="32" t="s">
        <v>37</v>
      </c>
      <c r="AH2" s="32" t="s">
        <v>598</v>
      </c>
      <c r="AI2" s="32" t="s">
        <v>839</v>
      </c>
      <c r="AJ2" s="32" t="s">
        <v>824</v>
      </c>
      <c r="AK2" s="49">
        <f>IFERROR(VLOOKUP(B2,'MIN Salary 2024'!A1:I40, 7, FALSE), "No salary data")</f>
        <v>2425000</v>
      </c>
    </row>
    <row r="3" spans="1:37" x14ac:dyDescent="0.25">
      <c r="A3" s="15">
        <v>2</v>
      </c>
      <c r="B3" s="15" t="s">
        <v>599</v>
      </c>
      <c r="C3" s="15">
        <v>38</v>
      </c>
      <c r="D3" s="15" t="s">
        <v>40</v>
      </c>
      <c r="E3" s="15">
        <v>2.5</v>
      </c>
      <c r="F3" s="15">
        <v>150</v>
      </c>
      <c r="G3" s="15">
        <v>594</v>
      </c>
      <c r="H3" s="15">
        <v>521</v>
      </c>
      <c r="I3" s="15">
        <v>63</v>
      </c>
      <c r="J3" s="15">
        <v>124</v>
      </c>
      <c r="K3" s="15">
        <v>26</v>
      </c>
      <c r="L3" s="15">
        <v>0</v>
      </c>
      <c r="M3" s="15">
        <v>23</v>
      </c>
      <c r="N3" s="15">
        <v>71</v>
      </c>
      <c r="O3" s="15">
        <v>4</v>
      </c>
      <c r="P3" s="15">
        <v>0</v>
      </c>
      <c r="Q3" s="15">
        <v>65</v>
      </c>
      <c r="R3" s="15">
        <v>99</v>
      </c>
      <c r="S3" s="15">
        <v>0.23799999999999999</v>
      </c>
      <c r="T3" s="15">
        <v>0.32800000000000001</v>
      </c>
      <c r="U3" s="15">
        <v>0.42</v>
      </c>
      <c r="V3" s="15">
        <v>0.749</v>
      </c>
      <c r="W3" s="15">
        <v>109</v>
      </c>
      <c r="X3" s="15">
        <v>0.32900000000000001</v>
      </c>
      <c r="Y3" s="15">
        <v>108</v>
      </c>
      <c r="Z3" s="15">
        <v>219</v>
      </c>
      <c r="AA3" s="15">
        <v>11</v>
      </c>
      <c r="AB3" s="15">
        <v>6</v>
      </c>
      <c r="AC3" s="15">
        <v>0</v>
      </c>
      <c r="AD3" s="15">
        <v>2</v>
      </c>
      <c r="AE3" s="15">
        <v>3</v>
      </c>
      <c r="AF3" s="15" t="s">
        <v>600</v>
      </c>
      <c r="AG3" s="15" t="s">
        <v>235</v>
      </c>
      <c r="AH3" s="15" t="s">
        <v>601</v>
      </c>
      <c r="AI3" s="15" t="s">
        <v>839</v>
      </c>
      <c r="AJ3" s="15" t="s">
        <v>824</v>
      </c>
      <c r="AK3" s="38" t="str">
        <f>IFERROR(VLOOKUP(B3,'MIN Salary 2024'!A2:I41, 7, FALSE), "No salary data")</f>
        <v>No salary data</v>
      </c>
    </row>
    <row r="4" spans="1:37" x14ac:dyDescent="0.25">
      <c r="A4" s="14">
        <v>3</v>
      </c>
      <c r="B4" s="14" t="s">
        <v>602</v>
      </c>
      <c r="C4" s="14">
        <v>25</v>
      </c>
      <c r="D4" s="14" t="s">
        <v>10</v>
      </c>
      <c r="E4" s="14">
        <v>-0.2</v>
      </c>
      <c r="F4" s="14">
        <v>94</v>
      </c>
      <c r="G4" s="14">
        <v>301</v>
      </c>
      <c r="H4" s="14">
        <v>266</v>
      </c>
      <c r="I4" s="14">
        <v>36</v>
      </c>
      <c r="J4" s="14">
        <v>53</v>
      </c>
      <c r="K4" s="14">
        <v>9</v>
      </c>
      <c r="L4" s="14">
        <v>0</v>
      </c>
      <c r="M4" s="14">
        <v>8</v>
      </c>
      <c r="N4" s="14">
        <v>21</v>
      </c>
      <c r="O4" s="14">
        <v>6</v>
      </c>
      <c r="P4" s="14">
        <v>0</v>
      </c>
      <c r="Q4" s="14">
        <v>33</v>
      </c>
      <c r="R4" s="14">
        <v>102</v>
      </c>
      <c r="S4" s="14">
        <v>0.19900000000000001</v>
      </c>
      <c r="T4" s="14">
        <v>0.29199999999999998</v>
      </c>
      <c r="U4" s="14">
        <v>0.32300000000000001</v>
      </c>
      <c r="V4" s="14">
        <v>0.61599999999999999</v>
      </c>
      <c r="W4" s="14">
        <v>74</v>
      </c>
      <c r="X4" s="14">
        <v>0.28799999999999998</v>
      </c>
      <c r="Y4" s="14">
        <v>76</v>
      </c>
      <c r="Z4" s="14">
        <v>86</v>
      </c>
      <c r="AA4" s="14">
        <v>2</v>
      </c>
      <c r="AB4" s="14">
        <v>2</v>
      </c>
      <c r="AC4" s="14">
        <v>0</v>
      </c>
      <c r="AD4" s="14">
        <v>0</v>
      </c>
      <c r="AE4" s="14">
        <v>0</v>
      </c>
      <c r="AF4" s="14" t="s">
        <v>603</v>
      </c>
      <c r="AG4" s="14" t="s">
        <v>37</v>
      </c>
      <c r="AH4" s="14" t="s">
        <v>604</v>
      </c>
      <c r="AI4" s="14" t="s">
        <v>839</v>
      </c>
      <c r="AJ4" s="14" t="s">
        <v>824</v>
      </c>
      <c r="AK4" s="40">
        <f>IFERROR(VLOOKUP(B4,'MIN Salary 2024'!A3:I42, 7, FALSE), "No salary data")</f>
        <v>481800</v>
      </c>
    </row>
    <row r="5" spans="1:37" x14ac:dyDescent="0.25">
      <c r="A5" s="15">
        <v>4</v>
      </c>
      <c r="B5" s="15" t="s">
        <v>605</v>
      </c>
      <c r="C5" s="15">
        <v>29</v>
      </c>
      <c r="D5" s="15" t="s">
        <v>47</v>
      </c>
      <c r="E5" s="15">
        <v>3.7</v>
      </c>
      <c r="F5" s="15">
        <v>86</v>
      </c>
      <c r="G5" s="15">
        <v>367</v>
      </c>
      <c r="H5" s="15">
        <v>319</v>
      </c>
      <c r="I5" s="15">
        <v>55</v>
      </c>
      <c r="J5" s="15">
        <v>99</v>
      </c>
      <c r="K5" s="15">
        <v>20</v>
      </c>
      <c r="L5" s="15">
        <v>2</v>
      </c>
      <c r="M5" s="15">
        <v>14</v>
      </c>
      <c r="N5" s="15">
        <v>54</v>
      </c>
      <c r="O5" s="15">
        <v>0</v>
      </c>
      <c r="P5" s="15">
        <v>0</v>
      </c>
      <c r="Q5" s="15">
        <v>40</v>
      </c>
      <c r="R5" s="15">
        <v>61</v>
      </c>
      <c r="S5" s="15">
        <v>0.31</v>
      </c>
      <c r="T5" s="15">
        <v>0.38800000000000001</v>
      </c>
      <c r="U5" s="15">
        <v>0.51700000000000002</v>
      </c>
      <c r="V5" s="15">
        <v>0.90500000000000003</v>
      </c>
      <c r="W5" s="15">
        <v>152</v>
      </c>
      <c r="X5" s="15">
        <v>0.39300000000000002</v>
      </c>
      <c r="Y5" s="15">
        <v>155</v>
      </c>
      <c r="Z5" s="15">
        <v>165</v>
      </c>
      <c r="AA5" s="15">
        <v>5</v>
      </c>
      <c r="AB5" s="15">
        <v>3</v>
      </c>
      <c r="AC5" s="15">
        <v>0</v>
      </c>
      <c r="AD5" s="15">
        <v>4</v>
      </c>
      <c r="AE5" s="15">
        <v>4</v>
      </c>
      <c r="AF5" s="15" t="s">
        <v>606</v>
      </c>
      <c r="AG5" s="15" t="s">
        <v>163</v>
      </c>
      <c r="AH5" s="15" t="s">
        <v>607</v>
      </c>
      <c r="AI5" s="15" t="s">
        <v>839</v>
      </c>
      <c r="AJ5" s="15" t="s">
        <v>824</v>
      </c>
      <c r="AK5" s="38" t="str">
        <f>IFERROR(VLOOKUP(B5,'MIN Salary 2024'!A4:I43, 7, FALSE), "No salary data")</f>
        <v>No salary data</v>
      </c>
    </row>
    <row r="6" spans="1:37" x14ac:dyDescent="0.25">
      <c r="A6" s="14">
        <v>5</v>
      </c>
      <c r="B6" s="14" t="s">
        <v>608</v>
      </c>
      <c r="C6" s="14">
        <v>26</v>
      </c>
      <c r="D6" s="14" t="s">
        <v>11</v>
      </c>
      <c r="E6" s="14">
        <v>1.7</v>
      </c>
      <c r="F6" s="14">
        <v>121</v>
      </c>
      <c r="G6" s="14">
        <v>429</v>
      </c>
      <c r="H6" s="14">
        <v>401</v>
      </c>
      <c r="I6" s="14">
        <v>44</v>
      </c>
      <c r="J6" s="14">
        <v>114</v>
      </c>
      <c r="K6" s="14">
        <v>28</v>
      </c>
      <c r="L6" s="14">
        <v>4</v>
      </c>
      <c r="M6" s="14">
        <v>9</v>
      </c>
      <c r="N6" s="14">
        <v>49</v>
      </c>
      <c r="O6" s="14">
        <v>2</v>
      </c>
      <c r="P6" s="14">
        <v>2</v>
      </c>
      <c r="Q6" s="14">
        <v>18</v>
      </c>
      <c r="R6" s="14">
        <v>66</v>
      </c>
      <c r="S6" s="14">
        <v>0.28399999999999997</v>
      </c>
      <c r="T6" s="14">
        <v>0.32200000000000001</v>
      </c>
      <c r="U6" s="14">
        <v>0.441</v>
      </c>
      <c r="V6" s="14">
        <v>0.76300000000000001</v>
      </c>
      <c r="W6" s="14">
        <v>112</v>
      </c>
      <c r="X6" s="14">
        <v>0.33300000000000002</v>
      </c>
      <c r="Y6" s="14">
        <v>112</v>
      </c>
      <c r="Z6" s="14">
        <v>177</v>
      </c>
      <c r="AA6" s="14">
        <v>13</v>
      </c>
      <c r="AB6" s="14">
        <v>6</v>
      </c>
      <c r="AC6" s="14">
        <v>0</v>
      </c>
      <c r="AD6" s="14">
        <v>4</v>
      </c>
      <c r="AE6" s="14">
        <v>1</v>
      </c>
      <c r="AF6" s="14" t="s">
        <v>609</v>
      </c>
      <c r="AG6" s="14" t="s">
        <v>37</v>
      </c>
      <c r="AH6" s="14" t="s">
        <v>610</v>
      </c>
      <c r="AI6" s="14" t="s">
        <v>839</v>
      </c>
      <c r="AJ6" s="14" t="s">
        <v>824</v>
      </c>
      <c r="AK6" s="40" t="str">
        <f>IFERROR(VLOOKUP(B6,'MIN Salary 2024'!A5:I44, 7, FALSE), "No salary data")</f>
        <v>No salary data</v>
      </c>
    </row>
    <row r="7" spans="1:37" x14ac:dyDescent="0.25">
      <c r="A7" s="15">
        <v>6</v>
      </c>
      <c r="B7" s="15" t="s">
        <v>611</v>
      </c>
      <c r="C7" s="15">
        <v>29</v>
      </c>
      <c r="D7" s="15" t="s">
        <v>54</v>
      </c>
      <c r="E7" s="15">
        <v>-0.9</v>
      </c>
      <c r="F7" s="15">
        <v>129</v>
      </c>
      <c r="G7" s="15">
        <v>343</v>
      </c>
      <c r="H7" s="15">
        <v>315</v>
      </c>
      <c r="I7" s="15">
        <v>37</v>
      </c>
      <c r="J7" s="15">
        <v>75</v>
      </c>
      <c r="K7" s="15">
        <v>17</v>
      </c>
      <c r="L7" s="15">
        <v>1</v>
      </c>
      <c r="M7" s="15">
        <v>4</v>
      </c>
      <c r="N7" s="15">
        <v>31</v>
      </c>
      <c r="O7" s="15">
        <v>5</v>
      </c>
      <c r="P7" s="15">
        <v>0</v>
      </c>
      <c r="Q7" s="15">
        <v>21</v>
      </c>
      <c r="R7" s="15">
        <v>54</v>
      </c>
      <c r="S7" s="15">
        <v>0.23799999999999999</v>
      </c>
      <c r="T7" s="15">
        <v>0.28899999999999998</v>
      </c>
      <c r="U7" s="15">
        <v>0.33700000000000002</v>
      </c>
      <c r="V7" s="15">
        <v>0.626</v>
      </c>
      <c r="W7" s="15">
        <v>76</v>
      </c>
      <c r="X7" s="15">
        <v>0.28100000000000003</v>
      </c>
      <c r="Y7" s="15">
        <v>72</v>
      </c>
      <c r="Z7" s="15">
        <v>106</v>
      </c>
      <c r="AA7" s="15">
        <v>10</v>
      </c>
      <c r="AB7" s="15">
        <v>3</v>
      </c>
      <c r="AC7" s="15">
        <v>1</v>
      </c>
      <c r="AD7" s="15">
        <v>3</v>
      </c>
      <c r="AE7" s="15">
        <v>0</v>
      </c>
      <c r="AF7" s="15" t="s">
        <v>612</v>
      </c>
      <c r="AG7" s="15" t="s">
        <v>37</v>
      </c>
      <c r="AH7" s="15" t="s">
        <v>613</v>
      </c>
      <c r="AI7" s="15" t="s">
        <v>839</v>
      </c>
      <c r="AJ7" s="15" t="s">
        <v>824</v>
      </c>
      <c r="AK7" s="38">
        <f>IFERROR(VLOOKUP(B7,'MIN Salary 2024'!A6:I45, 7, FALSE), "No salary data")</f>
        <v>4000000</v>
      </c>
    </row>
    <row r="8" spans="1:37" x14ac:dyDescent="0.25">
      <c r="A8" s="14">
        <v>7</v>
      </c>
      <c r="B8" s="14" t="s">
        <v>614</v>
      </c>
      <c r="C8" s="14">
        <v>30</v>
      </c>
      <c r="D8" s="14" t="s">
        <v>58</v>
      </c>
      <c r="E8" s="14">
        <v>3.6</v>
      </c>
      <c r="F8" s="14">
        <v>102</v>
      </c>
      <c r="G8" s="14">
        <v>388</v>
      </c>
      <c r="H8" s="14">
        <v>355</v>
      </c>
      <c r="I8" s="14">
        <v>62</v>
      </c>
      <c r="J8" s="14">
        <v>99</v>
      </c>
      <c r="K8" s="14">
        <v>27</v>
      </c>
      <c r="L8" s="14">
        <v>3</v>
      </c>
      <c r="M8" s="14">
        <v>18</v>
      </c>
      <c r="N8" s="14">
        <v>56</v>
      </c>
      <c r="O8" s="14">
        <v>7</v>
      </c>
      <c r="P8" s="14">
        <v>2</v>
      </c>
      <c r="Q8" s="14">
        <v>20</v>
      </c>
      <c r="R8" s="14">
        <v>99</v>
      </c>
      <c r="S8" s="14">
        <v>0.27900000000000003</v>
      </c>
      <c r="T8" s="14">
        <v>0.33500000000000002</v>
      </c>
      <c r="U8" s="14">
        <v>0.52400000000000002</v>
      </c>
      <c r="V8" s="14">
        <v>0.85899999999999999</v>
      </c>
      <c r="W8" s="14">
        <v>137</v>
      </c>
      <c r="X8" s="14">
        <v>0.36899999999999999</v>
      </c>
      <c r="Y8" s="14">
        <v>136</v>
      </c>
      <c r="Z8" s="14">
        <v>186</v>
      </c>
      <c r="AA8" s="14">
        <v>3</v>
      </c>
      <c r="AB8" s="14">
        <v>11</v>
      </c>
      <c r="AC8" s="14">
        <v>0</v>
      </c>
      <c r="AD8" s="14">
        <v>2</v>
      </c>
      <c r="AE8" s="14">
        <v>1</v>
      </c>
      <c r="AF8" s="14" t="s">
        <v>473</v>
      </c>
      <c r="AG8" s="14" t="s">
        <v>37</v>
      </c>
      <c r="AH8" s="14" t="s">
        <v>615</v>
      </c>
      <c r="AI8" s="14" t="s">
        <v>839</v>
      </c>
      <c r="AJ8" s="14" t="s">
        <v>824</v>
      </c>
      <c r="AK8" s="40" t="str">
        <f>IFERROR(VLOOKUP(B8,'MIN Salary 2024'!A7:I46, 7, FALSE), "No salary data")</f>
        <v>No salary data</v>
      </c>
    </row>
    <row r="9" spans="1:37" x14ac:dyDescent="0.25">
      <c r="A9" s="15">
        <v>8</v>
      </c>
      <c r="B9" s="15" t="s">
        <v>616</v>
      </c>
      <c r="C9" s="15">
        <v>31</v>
      </c>
      <c r="D9" s="15" t="s">
        <v>62</v>
      </c>
      <c r="E9" s="15">
        <v>1</v>
      </c>
      <c r="F9" s="15">
        <v>105</v>
      </c>
      <c r="G9" s="15">
        <v>399</v>
      </c>
      <c r="H9" s="15">
        <v>368</v>
      </c>
      <c r="I9" s="15">
        <v>43</v>
      </c>
      <c r="J9" s="15">
        <v>93</v>
      </c>
      <c r="K9" s="15">
        <v>21</v>
      </c>
      <c r="L9" s="15">
        <v>1</v>
      </c>
      <c r="M9" s="15">
        <v>8</v>
      </c>
      <c r="N9" s="15">
        <v>42</v>
      </c>
      <c r="O9" s="15">
        <v>1</v>
      </c>
      <c r="P9" s="15">
        <v>0</v>
      </c>
      <c r="Q9" s="15">
        <v>22</v>
      </c>
      <c r="R9" s="15">
        <v>80</v>
      </c>
      <c r="S9" s="15">
        <v>0.253</v>
      </c>
      <c r="T9" s="15">
        <v>0.30199999999999999</v>
      </c>
      <c r="U9" s="15">
        <v>0.38</v>
      </c>
      <c r="V9" s="15">
        <v>0.68200000000000005</v>
      </c>
      <c r="W9" s="15">
        <v>91</v>
      </c>
      <c r="X9" s="15">
        <v>0.315</v>
      </c>
      <c r="Y9" s="15">
        <v>98</v>
      </c>
      <c r="Z9" s="15">
        <v>140</v>
      </c>
      <c r="AA9" s="15">
        <v>3</v>
      </c>
      <c r="AB9" s="15">
        <v>5</v>
      </c>
      <c r="AC9" s="15">
        <v>0</v>
      </c>
      <c r="AD9" s="15">
        <v>3</v>
      </c>
      <c r="AE9" s="15">
        <v>0</v>
      </c>
      <c r="AF9" s="15" t="s">
        <v>617</v>
      </c>
      <c r="AG9" s="15" t="s">
        <v>37</v>
      </c>
      <c r="AH9" s="15" t="s">
        <v>618</v>
      </c>
      <c r="AI9" s="15" t="s">
        <v>839</v>
      </c>
      <c r="AJ9" s="15" t="s">
        <v>824</v>
      </c>
      <c r="AK9" s="38">
        <f>IFERROR(VLOOKUP(B9,'MIN Salary 2024'!A8:I47, 7, FALSE), "No salary data")</f>
        <v>10000000</v>
      </c>
    </row>
    <row r="10" spans="1:37" x14ac:dyDescent="0.25">
      <c r="A10" s="14">
        <v>9</v>
      </c>
      <c r="B10" s="14" t="s">
        <v>619</v>
      </c>
      <c r="C10" s="14">
        <v>27</v>
      </c>
      <c r="D10" s="14" t="s">
        <v>66</v>
      </c>
      <c r="E10" s="14">
        <v>1.3</v>
      </c>
      <c r="F10" s="14">
        <v>112</v>
      </c>
      <c r="G10" s="14">
        <v>400</v>
      </c>
      <c r="H10" s="14">
        <v>355</v>
      </c>
      <c r="I10" s="14">
        <v>59</v>
      </c>
      <c r="J10" s="14">
        <v>92</v>
      </c>
      <c r="K10" s="14">
        <v>17</v>
      </c>
      <c r="L10" s="14">
        <v>0</v>
      </c>
      <c r="M10" s="14">
        <v>15</v>
      </c>
      <c r="N10" s="14">
        <v>52</v>
      </c>
      <c r="O10" s="14">
        <v>4</v>
      </c>
      <c r="P10" s="14">
        <v>1</v>
      </c>
      <c r="Q10" s="14">
        <v>40</v>
      </c>
      <c r="R10" s="14">
        <v>89</v>
      </c>
      <c r="S10" s="14">
        <v>0.25900000000000001</v>
      </c>
      <c r="T10" s="14">
        <v>0.33800000000000002</v>
      </c>
      <c r="U10" s="14">
        <v>0.434</v>
      </c>
      <c r="V10" s="14">
        <v>0.77100000000000002</v>
      </c>
      <c r="W10" s="14">
        <v>116</v>
      </c>
      <c r="X10" s="14">
        <v>0.34100000000000003</v>
      </c>
      <c r="Y10" s="14">
        <v>117</v>
      </c>
      <c r="Z10" s="14">
        <v>154</v>
      </c>
      <c r="AA10" s="14">
        <v>12</v>
      </c>
      <c r="AB10" s="14">
        <v>3</v>
      </c>
      <c r="AC10" s="14">
        <v>0</v>
      </c>
      <c r="AD10" s="14">
        <v>2</v>
      </c>
      <c r="AE10" s="14">
        <v>1</v>
      </c>
      <c r="AF10" s="14" t="s">
        <v>620</v>
      </c>
      <c r="AG10" s="14" t="s">
        <v>37</v>
      </c>
      <c r="AH10" s="14" t="s">
        <v>621</v>
      </c>
      <c r="AI10" s="14" t="s">
        <v>839</v>
      </c>
      <c r="AJ10" s="14" t="s">
        <v>824</v>
      </c>
      <c r="AK10" s="40">
        <f>IFERROR(VLOOKUP(B10,'MIN Salary 2024'!A9:I48, 7, FALSE), "No salary data")</f>
        <v>660348</v>
      </c>
    </row>
    <row r="11" spans="1:37" x14ac:dyDescent="0.25">
      <c r="A11" s="15">
        <v>10</v>
      </c>
      <c r="B11" s="15" t="s">
        <v>622</v>
      </c>
      <c r="C11" s="15">
        <v>27</v>
      </c>
      <c r="D11" s="15" t="s">
        <v>70</v>
      </c>
      <c r="E11" s="15">
        <v>1.6</v>
      </c>
      <c r="F11" s="15">
        <v>158</v>
      </c>
      <c r="G11" s="15">
        <v>635</v>
      </c>
      <c r="H11" s="15">
        <v>558</v>
      </c>
      <c r="I11" s="15">
        <v>89</v>
      </c>
      <c r="J11" s="15">
        <v>138</v>
      </c>
      <c r="K11" s="15">
        <v>31</v>
      </c>
      <c r="L11" s="15">
        <v>5</v>
      </c>
      <c r="M11" s="15">
        <v>12</v>
      </c>
      <c r="N11" s="15">
        <v>60</v>
      </c>
      <c r="O11" s="15">
        <v>14</v>
      </c>
      <c r="P11" s="15">
        <v>9</v>
      </c>
      <c r="Q11" s="15">
        <v>51</v>
      </c>
      <c r="R11" s="15">
        <v>150</v>
      </c>
      <c r="S11" s="15">
        <v>0.247</v>
      </c>
      <c r="T11" s="15">
        <v>0.33100000000000002</v>
      </c>
      <c r="U11" s="15">
        <v>0.38500000000000001</v>
      </c>
      <c r="V11" s="15">
        <v>0.71699999999999997</v>
      </c>
      <c r="W11" s="15">
        <v>102</v>
      </c>
      <c r="X11" s="15">
        <v>0.32600000000000001</v>
      </c>
      <c r="Y11" s="15">
        <v>108</v>
      </c>
      <c r="Z11" s="15">
        <v>215</v>
      </c>
      <c r="AA11" s="15">
        <v>8</v>
      </c>
      <c r="AB11" s="15">
        <v>21</v>
      </c>
      <c r="AC11" s="15">
        <v>1</v>
      </c>
      <c r="AD11" s="15">
        <v>4</v>
      </c>
      <c r="AE11" s="15">
        <v>0</v>
      </c>
      <c r="AF11" s="15" t="s">
        <v>623</v>
      </c>
      <c r="AG11" s="15" t="s">
        <v>163</v>
      </c>
      <c r="AH11" s="15" t="s">
        <v>624</v>
      </c>
      <c r="AI11" s="15" t="s">
        <v>839</v>
      </c>
      <c r="AJ11" s="15" t="s">
        <v>824</v>
      </c>
      <c r="AK11" s="38" t="str">
        <f>IFERROR(VLOOKUP(B11,'MIN Salary 2024'!A10:I49, 7, FALSE), "No salary data")</f>
        <v>No salary data</v>
      </c>
    </row>
    <row r="12" spans="1:37" x14ac:dyDescent="0.25">
      <c r="A12" s="14">
        <v>11</v>
      </c>
      <c r="B12" s="14" t="s">
        <v>625</v>
      </c>
      <c r="C12" s="14">
        <v>25</v>
      </c>
      <c r="D12" s="14" t="s">
        <v>11</v>
      </c>
      <c r="E12" s="14">
        <v>0.7</v>
      </c>
      <c r="F12" s="14">
        <v>82</v>
      </c>
      <c r="G12" s="14">
        <v>325</v>
      </c>
      <c r="H12" s="14">
        <v>292</v>
      </c>
      <c r="I12" s="14">
        <v>40</v>
      </c>
      <c r="J12" s="14">
        <v>68</v>
      </c>
      <c r="K12" s="14">
        <v>16</v>
      </c>
      <c r="L12" s="14">
        <v>0</v>
      </c>
      <c r="M12" s="14">
        <v>16</v>
      </c>
      <c r="N12" s="14">
        <v>47</v>
      </c>
      <c r="O12" s="14">
        <v>0</v>
      </c>
      <c r="P12" s="14">
        <v>0</v>
      </c>
      <c r="Q12" s="14">
        <v>28</v>
      </c>
      <c r="R12" s="14">
        <v>74</v>
      </c>
      <c r="S12" s="14">
        <v>0.23300000000000001</v>
      </c>
      <c r="T12" s="14">
        <v>0.29499999999999998</v>
      </c>
      <c r="U12" s="14">
        <v>0.45200000000000001</v>
      </c>
      <c r="V12" s="14">
        <v>0.747</v>
      </c>
      <c r="W12" s="14">
        <v>107</v>
      </c>
      <c r="X12" s="14">
        <v>0.315</v>
      </c>
      <c r="Y12" s="14">
        <v>99</v>
      </c>
      <c r="Z12" s="14">
        <v>132</v>
      </c>
      <c r="AA12" s="14">
        <v>5</v>
      </c>
      <c r="AB12" s="14">
        <v>0</v>
      </c>
      <c r="AC12" s="14">
        <v>0</v>
      </c>
      <c r="AD12" s="14">
        <v>5</v>
      </c>
      <c r="AE12" s="14">
        <v>2</v>
      </c>
      <c r="AF12" s="14" t="s">
        <v>626</v>
      </c>
      <c r="AG12" s="14" t="s">
        <v>37</v>
      </c>
      <c r="AH12" s="14" t="s">
        <v>627</v>
      </c>
      <c r="AI12" s="14" t="s">
        <v>839</v>
      </c>
      <c r="AJ12" s="14" t="s">
        <v>824</v>
      </c>
      <c r="AK12" s="40">
        <f>IFERROR(VLOOKUP(B12,'MIN Salary 2024'!A11:I50, 7, FALSE), "No salary data")</f>
        <v>745700</v>
      </c>
    </row>
    <row r="13" spans="1:37" x14ac:dyDescent="0.25">
      <c r="A13" s="15">
        <v>12</v>
      </c>
      <c r="B13" s="15" t="s">
        <v>628</v>
      </c>
      <c r="C13" s="15">
        <v>33</v>
      </c>
      <c r="D13" s="15" t="s">
        <v>35</v>
      </c>
      <c r="E13" s="15">
        <v>-0.2</v>
      </c>
      <c r="F13" s="15">
        <v>93</v>
      </c>
      <c r="G13" s="15">
        <v>315</v>
      </c>
      <c r="H13" s="15">
        <v>294</v>
      </c>
      <c r="I13" s="15">
        <v>29</v>
      </c>
      <c r="J13" s="15">
        <v>65</v>
      </c>
      <c r="K13" s="15">
        <v>10</v>
      </c>
      <c r="L13" s="15">
        <v>0</v>
      </c>
      <c r="M13" s="15">
        <v>7</v>
      </c>
      <c r="N13" s="15">
        <v>27</v>
      </c>
      <c r="O13" s="15">
        <v>3</v>
      </c>
      <c r="P13" s="15">
        <v>1</v>
      </c>
      <c r="Q13" s="15">
        <v>11</v>
      </c>
      <c r="R13" s="15">
        <v>65</v>
      </c>
      <c r="S13" s="15">
        <v>0.221</v>
      </c>
      <c r="T13" s="15">
        <v>0.248</v>
      </c>
      <c r="U13" s="15">
        <v>0.32700000000000001</v>
      </c>
      <c r="V13" s="15">
        <v>0.57499999999999996</v>
      </c>
      <c r="W13" s="15">
        <v>60</v>
      </c>
      <c r="X13" s="15">
        <v>0.26200000000000001</v>
      </c>
      <c r="Y13" s="15">
        <v>60</v>
      </c>
      <c r="Z13" s="15">
        <v>96</v>
      </c>
      <c r="AA13" s="15">
        <v>11</v>
      </c>
      <c r="AB13" s="15">
        <v>1</v>
      </c>
      <c r="AC13" s="15">
        <v>5</v>
      </c>
      <c r="AD13" s="15">
        <v>4</v>
      </c>
      <c r="AE13" s="15">
        <v>0</v>
      </c>
      <c r="AF13" s="15" t="s">
        <v>629</v>
      </c>
      <c r="AG13" s="15" t="s">
        <v>37</v>
      </c>
      <c r="AH13" s="15" t="s">
        <v>630</v>
      </c>
      <c r="AI13" s="15" t="s">
        <v>839</v>
      </c>
      <c r="AJ13" s="15" t="s">
        <v>824</v>
      </c>
      <c r="AK13" s="38" t="str">
        <f>IFERROR(VLOOKUP(B13,'MIN Salary 2024'!A12:I51, 7, FALSE), "No salary data")</f>
        <v>No salary data</v>
      </c>
    </row>
    <row r="14" spans="1:37" x14ac:dyDescent="0.25">
      <c r="A14" s="14">
        <v>13</v>
      </c>
      <c r="B14" s="14" t="s">
        <v>631</v>
      </c>
      <c r="C14" s="14">
        <v>26</v>
      </c>
      <c r="D14" s="14" t="s">
        <v>74</v>
      </c>
      <c r="E14" s="14">
        <v>2.2000000000000002</v>
      </c>
      <c r="F14" s="14">
        <v>75</v>
      </c>
      <c r="G14" s="14">
        <v>261</v>
      </c>
      <c r="H14" s="14">
        <v>220</v>
      </c>
      <c r="I14" s="14">
        <v>26</v>
      </c>
      <c r="J14" s="14">
        <v>57</v>
      </c>
      <c r="K14" s="14">
        <v>17</v>
      </c>
      <c r="L14" s="14">
        <v>1</v>
      </c>
      <c r="M14" s="14">
        <v>13</v>
      </c>
      <c r="N14" s="14">
        <v>37</v>
      </c>
      <c r="O14" s="14">
        <v>3</v>
      </c>
      <c r="P14" s="14">
        <v>0</v>
      </c>
      <c r="Q14" s="14">
        <v>24</v>
      </c>
      <c r="R14" s="14">
        <v>95</v>
      </c>
      <c r="S14" s="14">
        <v>0.25900000000000001</v>
      </c>
      <c r="T14" s="14">
        <v>0.372</v>
      </c>
      <c r="U14" s="14">
        <v>0.52300000000000002</v>
      </c>
      <c r="V14" s="14">
        <v>0.89400000000000002</v>
      </c>
      <c r="W14" s="14">
        <v>149</v>
      </c>
      <c r="X14" s="14">
        <v>0.38700000000000001</v>
      </c>
      <c r="Y14" s="14">
        <v>149</v>
      </c>
      <c r="Z14" s="14">
        <v>115</v>
      </c>
      <c r="AA14" s="14">
        <v>2</v>
      </c>
      <c r="AB14" s="14">
        <v>16</v>
      </c>
      <c r="AC14" s="14">
        <v>0</v>
      </c>
      <c r="AD14" s="14">
        <v>1</v>
      </c>
      <c r="AE14" s="14">
        <v>0</v>
      </c>
      <c r="AF14" s="14" t="s">
        <v>632</v>
      </c>
      <c r="AG14" s="14" t="s">
        <v>37</v>
      </c>
      <c r="AH14" s="14" t="s">
        <v>633</v>
      </c>
      <c r="AI14" s="14" t="s">
        <v>839</v>
      </c>
      <c r="AJ14" s="14" t="s">
        <v>824</v>
      </c>
      <c r="AK14" s="40">
        <f>IFERROR(VLOOKUP(B14,'MIN Salary 2024'!A13:I52, 7, FALSE), "No salary data")</f>
        <v>673128</v>
      </c>
    </row>
    <row r="15" spans="1:37" x14ac:dyDescent="0.25">
      <c r="A15" s="15">
        <v>14</v>
      </c>
      <c r="B15" s="15" t="s">
        <v>634</v>
      </c>
      <c r="C15" s="15">
        <v>25</v>
      </c>
      <c r="D15" s="15" t="s">
        <v>74</v>
      </c>
      <c r="E15" s="15">
        <v>-1</v>
      </c>
      <c r="F15" s="15">
        <v>93</v>
      </c>
      <c r="G15" s="15">
        <v>257</v>
      </c>
      <c r="H15" s="15">
        <v>233</v>
      </c>
      <c r="I15" s="15">
        <v>41</v>
      </c>
      <c r="J15" s="15">
        <v>59</v>
      </c>
      <c r="K15" s="15">
        <v>18</v>
      </c>
      <c r="L15" s="15">
        <v>1</v>
      </c>
      <c r="M15" s="15">
        <v>1</v>
      </c>
      <c r="N15" s="15">
        <v>16</v>
      </c>
      <c r="O15" s="15">
        <v>7</v>
      </c>
      <c r="P15" s="15">
        <v>3</v>
      </c>
      <c r="Q15" s="15">
        <v>20</v>
      </c>
      <c r="R15" s="15">
        <v>47</v>
      </c>
      <c r="S15" s="15">
        <v>0.253</v>
      </c>
      <c r="T15" s="15">
        <v>0.318</v>
      </c>
      <c r="U15" s="15">
        <v>0.35199999999999998</v>
      </c>
      <c r="V15" s="15">
        <v>0.67</v>
      </c>
      <c r="W15" s="15">
        <v>89</v>
      </c>
      <c r="X15" s="15">
        <v>0.29899999999999999</v>
      </c>
      <c r="Y15" s="15">
        <v>87</v>
      </c>
      <c r="Z15" s="15">
        <v>82</v>
      </c>
      <c r="AA15" s="15">
        <v>4</v>
      </c>
      <c r="AB15" s="15">
        <v>2</v>
      </c>
      <c r="AC15" s="15">
        <v>2</v>
      </c>
      <c r="AD15" s="15">
        <v>0</v>
      </c>
      <c r="AE15" s="15">
        <v>0</v>
      </c>
      <c r="AF15" s="15" t="s">
        <v>635</v>
      </c>
      <c r="AG15" s="15" t="s">
        <v>37</v>
      </c>
      <c r="AH15" s="15" t="s">
        <v>636</v>
      </c>
      <c r="AI15" s="15" t="s">
        <v>839</v>
      </c>
      <c r="AJ15" s="15" t="s">
        <v>824</v>
      </c>
      <c r="AK15" s="38">
        <f>IFERROR(VLOOKUP(B15,'MIN Salary 2024'!A14:I53, 7, FALSE), "No salary data")</f>
        <v>560898</v>
      </c>
    </row>
    <row r="16" spans="1:37" x14ac:dyDescent="0.25">
      <c r="A16" s="14">
        <v>15</v>
      </c>
      <c r="B16" s="14" t="s">
        <v>637</v>
      </c>
      <c r="C16" s="14">
        <v>33</v>
      </c>
      <c r="D16" s="14" t="s">
        <v>108</v>
      </c>
      <c r="E16" s="14">
        <v>-0.3</v>
      </c>
      <c r="F16" s="14">
        <v>107</v>
      </c>
      <c r="G16" s="14">
        <v>242</v>
      </c>
      <c r="H16" s="14">
        <v>215</v>
      </c>
      <c r="I16" s="14">
        <v>26</v>
      </c>
      <c r="J16" s="14">
        <v>46</v>
      </c>
      <c r="K16" s="14">
        <v>13</v>
      </c>
      <c r="L16" s="14">
        <v>1</v>
      </c>
      <c r="M16" s="14">
        <v>5</v>
      </c>
      <c r="N16" s="14">
        <v>25</v>
      </c>
      <c r="O16" s="14">
        <v>3</v>
      </c>
      <c r="P16" s="14">
        <v>5</v>
      </c>
      <c r="Q16" s="14">
        <v>19</v>
      </c>
      <c r="R16" s="14">
        <v>49</v>
      </c>
      <c r="S16" s="14">
        <v>0.214</v>
      </c>
      <c r="T16" s="14">
        <v>0.29299999999999998</v>
      </c>
      <c r="U16" s="14">
        <v>0.35299999999999998</v>
      </c>
      <c r="V16" s="14">
        <v>0.64700000000000002</v>
      </c>
      <c r="W16" s="14">
        <v>82</v>
      </c>
      <c r="X16" s="14">
        <v>0.28100000000000003</v>
      </c>
      <c r="Y16" s="14">
        <v>80</v>
      </c>
      <c r="Z16" s="14">
        <v>76</v>
      </c>
      <c r="AA16" s="14">
        <v>6</v>
      </c>
      <c r="AB16" s="14">
        <v>6</v>
      </c>
      <c r="AC16" s="14">
        <v>0</v>
      </c>
      <c r="AD16" s="14">
        <v>2</v>
      </c>
      <c r="AE16" s="14">
        <v>1</v>
      </c>
      <c r="AF16" s="14" t="s">
        <v>638</v>
      </c>
      <c r="AG16" s="14" t="s">
        <v>37</v>
      </c>
      <c r="AH16" s="14" t="s">
        <v>639</v>
      </c>
      <c r="AI16" s="14" t="s">
        <v>839</v>
      </c>
      <c r="AJ16" s="14" t="s">
        <v>824</v>
      </c>
      <c r="AK16" s="40" t="str">
        <f>IFERROR(VLOOKUP(B16,'MIN Salary 2024'!A15:I54, 7, FALSE), "No salary data")</f>
        <v>No salary data</v>
      </c>
    </row>
    <row r="17" spans="1:37" x14ac:dyDescent="0.25">
      <c r="A17" s="15">
        <v>16</v>
      </c>
      <c r="B17" s="15" t="s">
        <v>640</v>
      </c>
      <c r="C17" s="15">
        <v>23</v>
      </c>
      <c r="D17" s="15" t="s">
        <v>47</v>
      </c>
      <c r="E17" s="15">
        <v>-0.2</v>
      </c>
      <c r="F17" s="15">
        <v>50</v>
      </c>
      <c r="G17" s="15">
        <v>185</v>
      </c>
      <c r="H17" s="15">
        <v>172</v>
      </c>
      <c r="I17" s="15">
        <v>9</v>
      </c>
      <c r="J17" s="15">
        <v>38</v>
      </c>
      <c r="K17" s="15">
        <v>6</v>
      </c>
      <c r="L17" s="15">
        <v>1</v>
      </c>
      <c r="M17" s="15">
        <v>3</v>
      </c>
      <c r="N17" s="15">
        <v>27</v>
      </c>
      <c r="O17" s="15">
        <v>3</v>
      </c>
      <c r="P17" s="15">
        <v>0</v>
      </c>
      <c r="Q17" s="15">
        <v>11</v>
      </c>
      <c r="R17" s="15">
        <v>27</v>
      </c>
      <c r="S17" s="15">
        <v>0.221</v>
      </c>
      <c r="T17" s="15">
        <v>0.26500000000000001</v>
      </c>
      <c r="U17" s="15">
        <v>0.32</v>
      </c>
      <c r="V17" s="15">
        <v>0.58499999999999996</v>
      </c>
      <c r="W17" s="15">
        <v>64</v>
      </c>
      <c r="X17" s="15">
        <v>0.25600000000000001</v>
      </c>
      <c r="Y17" s="15">
        <v>53</v>
      </c>
      <c r="Z17" s="15">
        <v>55</v>
      </c>
      <c r="AA17" s="15">
        <v>6</v>
      </c>
      <c r="AB17" s="15">
        <v>0</v>
      </c>
      <c r="AC17" s="15">
        <v>0</v>
      </c>
      <c r="AD17" s="15">
        <v>2</v>
      </c>
      <c r="AE17" s="15">
        <v>2</v>
      </c>
      <c r="AF17" s="15" t="s">
        <v>641</v>
      </c>
      <c r="AG17" s="15" t="s">
        <v>37</v>
      </c>
      <c r="AH17" s="15" t="s">
        <v>642</v>
      </c>
      <c r="AI17" s="15" t="s">
        <v>839</v>
      </c>
      <c r="AJ17" s="15" t="s">
        <v>824</v>
      </c>
      <c r="AK17" s="38" t="str">
        <f>IFERROR(VLOOKUP(B17,'MIN Salary 2024'!A16:I55, 7, FALSE), "No salary data")</f>
        <v>No salary data</v>
      </c>
    </row>
    <row r="18" spans="1:37" x14ac:dyDescent="0.25">
      <c r="A18" s="14">
        <v>17</v>
      </c>
      <c r="B18" s="14" t="s">
        <v>643</v>
      </c>
      <c r="C18" s="14">
        <v>26</v>
      </c>
      <c r="D18" s="14" t="s">
        <v>70</v>
      </c>
      <c r="E18" s="14">
        <v>-0.6</v>
      </c>
      <c r="F18" s="14">
        <v>57</v>
      </c>
      <c r="G18" s="14">
        <v>178</v>
      </c>
      <c r="H18" s="14">
        <v>159</v>
      </c>
      <c r="I18" s="14">
        <v>20</v>
      </c>
      <c r="J18" s="14">
        <v>32</v>
      </c>
      <c r="K18" s="14">
        <v>8</v>
      </c>
      <c r="L18" s="14">
        <v>3</v>
      </c>
      <c r="M18" s="14">
        <v>5</v>
      </c>
      <c r="N18" s="14">
        <v>20</v>
      </c>
      <c r="O18" s="14">
        <v>0</v>
      </c>
      <c r="P18" s="14">
        <v>0</v>
      </c>
      <c r="Q18" s="14">
        <v>15</v>
      </c>
      <c r="R18" s="14">
        <v>47</v>
      </c>
      <c r="S18" s="14">
        <v>0.20100000000000001</v>
      </c>
      <c r="T18" s="14">
        <v>0.27</v>
      </c>
      <c r="U18" s="14">
        <v>0.38400000000000001</v>
      </c>
      <c r="V18" s="14">
        <v>0.65300000000000002</v>
      </c>
      <c r="W18" s="14">
        <v>81</v>
      </c>
      <c r="X18" s="14">
        <v>0.28699999999999998</v>
      </c>
      <c r="Y18" s="14">
        <v>79</v>
      </c>
      <c r="Z18" s="14">
        <v>61</v>
      </c>
      <c r="AA18" s="14">
        <v>5</v>
      </c>
      <c r="AB18" s="14">
        <v>1</v>
      </c>
      <c r="AC18" s="14">
        <v>0</v>
      </c>
      <c r="AD18" s="14">
        <v>3</v>
      </c>
      <c r="AE18" s="14">
        <v>0</v>
      </c>
      <c r="AF18" s="14" t="s">
        <v>644</v>
      </c>
      <c r="AG18" s="14" t="s">
        <v>37</v>
      </c>
      <c r="AH18" s="14" t="s">
        <v>645</v>
      </c>
      <c r="AI18" s="14" t="s">
        <v>839</v>
      </c>
      <c r="AJ18" s="14" t="s">
        <v>824</v>
      </c>
      <c r="AK18" s="40" t="str">
        <f>IFERROR(VLOOKUP(B18,'MIN Salary 2024'!A17:I56, 7, FALSE), "No salary data")</f>
        <v>No salary data</v>
      </c>
    </row>
    <row r="19" spans="1:37" x14ac:dyDescent="0.25">
      <c r="A19" s="15">
        <v>18</v>
      </c>
      <c r="B19" s="15" t="s">
        <v>646</v>
      </c>
      <c r="C19" s="15">
        <v>27</v>
      </c>
      <c r="D19" s="15" t="s">
        <v>58</v>
      </c>
      <c r="E19" s="15">
        <v>0</v>
      </c>
      <c r="F19" s="15">
        <v>6</v>
      </c>
      <c r="G19" s="15">
        <v>14</v>
      </c>
      <c r="H19" s="15">
        <v>13</v>
      </c>
      <c r="I19" s="15">
        <v>1</v>
      </c>
      <c r="J19" s="15">
        <v>2</v>
      </c>
      <c r="K19" s="15">
        <v>0</v>
      </c>
      <c r="L19" s="15">
        <v>0</v>
      </c>
      <c r="M19" s="15">
        <v>1</v>
      </c>
      <c r="N19" s="15">
        <v>1</v>
      </c>
      <c r="O19" s="15">
        <v>0</v>
      </c>
      <c r="P19" s="15">
        <v>0</v>
      </c>
      <c r="Q19" s="15">
        <v>0</v>
      </c>
      <c r="R19" s="15">
        <v>1</v>
      </c>
      <c r="S19" s="15">
        <v>0.154</v>
      </c>
      <c r="T19" s="15">
        <v>0.214</v>
      </c>
      <c r="U19" s="15">
        <v>0.38500000000000001</v>
      </c>
      <c r="V19" s="15">
        <v>0.59899999999999998</v>
      </c>
      <c r="W19" s="15">
        <v>64</v>
      </c>
      <c r="X19" s="15">
        <v>0.254</v>
      </c>
      <c r="Y19" s="15">
        <v>55</v>
      </c>
      <c r="Z19" s="15">
        <v>5</v>
      </c>
      <c r="AA19" s="15">
        <v>0</v>
      </c>
      <c r="AB19" s="15">
        <v>1</v>
      </c>
      <c r="AC19" s="15">
        <v>0</v>
      </c>
      <c r="AD19" s="15">
        <v>0</v>
      </c>
      <c r="AE19" s="15">
        <v>0</v>
      </c>
      <c r="AF19" s="15" t="s">
        <v>647</v>
      </c>
      <c r="AG19" s="15" t="s">
        <v>37</v>
      </c>
      <c r="AH19" s="15" t="s">
        <v>648</v>
      </c>
      <c r="AI19" s="15" t="s">
        <v>839</v>
      </c>
      <c r="AJ19" s="15" t="s">
        <v>824</v>
      </c>
      <c r="AK19" s="38" t="str">
        <f>IFERROR(VLOOKUP(B19,'MIN Salary 2024'!A18:I57, 7, FALSE), "No salary data")</f>
        <v>No salary data</v>
      </c>
    </row>
    <row r="20" spans="1:37" x14ac:dyDescent="0.25">
      <c r="A20" s="14">
        <v>19</v>
      </c>
      <c r="B20" s="14" t="s">
        <v>649</v>
      </c>
      <c r="C20" s="14">
        <v>28</v>
      </c>
      <c r="D20" s="14" t="s">
        <v>70</v>
      </c>
      <c r="E20" s="14">
        <v>0.1</v>
      </c>
      <c r="F20" s="14">
        <v>9</v>
      </c>
      <c r="G20" s="14">
        <v>10</v>
      </c>
      <c r="H20" s="14">
        <v>10</v>
      </c>
      <c r="I20" s="14">
        <v>2</v>
      </c>
      <c r="J20" s="14">
        <v>3</v>
      </c>
      <c r="K20" s="14">
        <v>2</v>
      </c>
      <c r="L20" s="14">
        <v>0</v>
      </c>
      <c r="M20" s="14">
        <v>0</v>
      </c>
      <c r="N20" s="14">
        <v>0</v>
      </c>
      <c r="O20" s="14">
        <v>0</v>
      </c>
      <c r="P20" s="14">
        <v>0</v>
      </c>
      <c r="Q20" s="14">
        <v>0</v>
      </c>
      <c r="R20" s="14">
        <v>3</v>
      </c>
      <c r="S20" s="14">
        <v>0.3</v>
      </c>
      <c r="T20" s="14">
        <v>0.3</v>
      </c>
      <c r="U20" s="14">
        <v>0.5</v>
      </c>
      <c r="V20" s="14">
        <v>0.8</v>
      </c>
      <c r="W20" s="14">
        <v>120</v>
      </c>
      <c r="X20" s="14">
        <v>0.32900000000000001</v>
      </c>
      <c r="Y20" s="14">
        <v>109</v>
      </c>
      <c r="Z20" s="14">
        <v>5</v>
      </c>
      <c r="AA20" s="14">
        <v>0</v>
      </c>
      <c r="AB20" s="14">
        <v>0</v>
      </c>
      <c r="AC20" s="14">
        <v>0</v>
      </c>
      <c r="AD20" s="14">
        <v>0</v>
      </c>
      <c r="AE20" s="14">
        <v>0</v>
      </c>
      <c r="AF20" s="14" t="s">
        <v>650</v>
      </c>
      <c r="AG20" s="14" t="s">
        <v>37</v>
      </c>
      <c r="AH20" s="14" t="s">
        <v>651</v>
      </c>
      <c r="AI20" s="14" t="s">
        <v>839</v>
      </c>
      <c r="AJ20" s="14" t="s">
        <v>824</v>
      </c>
      <c r="AK20" s="40">
        <f>IFERROR(VLOOKUP(B20,'MIN Salary 2024'!A19:I58, 7, FALSE), "No salary data")</f>
        <v>51714</v>
      </c>
    </row>
    <row r="21" spans="1:37" x14ac:dyDescent="0.25">
      <c r="A21" s="15">
        <v>20</v>
      </c>
      <c r="B21" s="15" t="s">
        <v>652</v>
      </c>
      <c r="C21" s="15">
        <v>26</v>
      </c>
      <c r="D21" s="15" t="s">
        <v>11</v>
      </c>
      <c r="E21" s="15">
        <v>0.2</v>
      </c>
      <c r="F21" s="15">
        <v>4</v>
      </c>
      <c r="G21" s="15">
        <v>8</v>
      </c>
      <c r="H21" s="15">
        <v>6</v>
      </c>
      <c r="I21" s="15">
        <v>3</v>
      </c>
      <c r="J21" s="15">
        <v>2</v>
      </c>
      <c r="K21" s="15">
        <v>1</v>
      </c>
      <c r="L21" s="15">
        <v>0</v>
      </c>
      <c r="M21" s="15">
        <v>0</v>
      </c>
      <c r="N21" s="15">
        <v>2</v>
      </c>
      <c r="O21" s="15">
        <v>0</v>
      </c>
      <c r="P21" s="15">
        <v>0</v>
      </c>
      <c r="Q21" s="15">
        <v>2</v>
      </c>
      <c r="R21" s="15">
        <v>1</v>
      </c>
      <c r="S21" s="15">
        <v>0.33300000000000002</v>
      </c>
      <c r="T21" s="15">
        <v>0.5</v>
      </c>
      <c r="U21" s="15">
        <v>0.5</v>
      </c>
      <c r="V21" s="15">
        <v>1</v>
      </c>
      <c r="W21" s="15">
        <v>184</v>
      </c>
      <c r="X21" s="15">
        <v>0.439</v>
      </c>
      <c r="Y21" s="15">
        <v>189</v>
      </c>
      <c r="Z21" s="15">
        <v>3</v>
      </c>
      <c r="AA21" s="15">
        <v>0</v>
      </c>
      <c r="AB21" s="15">
        <v>0</v>
      </c>
      <c r="AC21" s="15">
        <v>0</v>
      </c>
      <c r="AD21" s="15">
        <v>0</v>
      </c>
      <c r="AE21" s="15">
        <v>0</v>
      </c>
      <c r="AF21" s="15" t="s">
        <v>290</v>
      </c>
      <c r="AG21" s="15" t="s">
        <v>37</v>
      </c>
      <c r="AH21" s="15" t="s">
        <v>653</v>
      </c>
      <c r="AI21" s="15" t="s">
        <v>839</v>
      </c>
      <c r="AJ21" s="15" t="s">
        <v>824</v>
      </c>
      <c r="AK21" s="38" t="str">
        <f>IFERROR(VLOOKUP(B21,'MIN Salary 2024'!A20:I59, 7, FALSE), "No salary data")</f>
        <v>No salary data</v>
      </c>
    </row>
    <row r="22" spans="1:37" x14ac:dyDescent="0.25">
      <c r="A22" s="16">
        <v>21</v>
      </c>
      <c r="B22" s="16" t="s">
        <v>654</v>
      </c>
      <c r="C22" s="16">
        <v>24</v>
      </c>
      <c r="D22" s="16" t="s">
        <v>66</v>
      </c>
      <c r="E22" s="16">
        <v>-0.1</v>
      </c>
      <c r="F22" s="16">
        <v>5</v>
      </c>
      <c r="G22" s="16">
        <v>7</v>
      </c>
      <c r="H22" s="16">
        <v>6</v>
      </c>
      <c r="I22" s="16">
        <v>1</v>
      </c>
      <c r="J22" s="16">
        <v>0</v>
      </c>
      <c r="K22" s="16">
        <v>0</v>
      </c>
      <c r="L22" s="16">
        <v>0</v>
      </c>
      <c r="M22" s="16">
        <v>0</v>
      </c>
      <c r="N22" s="16">
        <v>0</v>
      </c>
      <c r="O22" s="16">
        <v>0</v>
      </c>
      <c r="P22" s="16">
        <v>0</v>
      </c>
      <c r="Q22" s="16">
        <v>1</v>
      </c>
      <c r="R22" s="16">
        <v>3</v>
      </c>
      <c r="S22" s="16">
        <v>0</v>
      </c>
      <c r="T22" s="16">
        <v>0.14299999999999999</v>
      </c>
      <c r="U22" s="16">
        <v>0</v>
      </c>
      <c r="V22" s="16">
        <v>0.14299999999999999</v>
      </c>
      <c r="W22" s="16">
        <v>-54</v>
      </c>
      <c r="X22" s="16">
        <v>9.8000000000000004E-2</v>
      </c>
      <c r="Y22" s="16">
        <v>-57</v>
      </c>
      <c r="Z22" s="16">
        <v>0</v>
      </c>
      <c r="AA22" s="16">
        <v>0</v>
      </c>
      <c r="AB22" s="16">
        <v>0</v>
      </c>
      <c r="AC22" s="16">
        <v>0</v>
      </c>
      <c r="AD22" s="16">
        <v>0</v>
      </c>
      <c r="AE22" s="16">
        <v>0</v>
      </c>
      <c r="AF22" s="16" t="s">
        <v>655</v>
      </c>
      <c r="AG22" s="16" t="s">
        <v>37</v>
      </c>
      <c r="AH22" s="16" t="s">
        <v>656</v>
      </c>
      <c r="AI22" s="16" t="s">
        <v>839</v>
      </c>
      <c r="AJ22" s="16" t="s">
        <v>824</v>
      </c>
      <c r="AK22" s="50" t="str">
        <f>IFERROR(VLOOKUP(B22,'MIN Salary 2024'!A21:I60, 7, FALSE), "No salary data")</f>
        <v>No salary data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C4BE6D-A13F-418F-9AA6-E95067A89ACA}">
  <sheetPr codeName="Sheet14"/>
  <dimension ref="A1:AN35"/>
  <sheetViews>
    <sheetView topLeftCell="E1" zoomScale="47" zoomScaleNormal="60" workbookViewId="0">
      <selection activeCell="AM41" sqref="AM41"/>
    </sheetView>
  </sheetViews>
  <sheetFormatPr defaultRowHeight="15" x14ac:dyDescent="0.25"/>
  <cols>
    <col min="1" max="1" width="5.28515625" bestFit="1" customWidth="1"/>
    <col min="2" max="2" width="22.42578125" bestFit="1" customWidth="1"/>
    <col min="3" max="4" width="6.140625" bestFit="1" customWidth="1"/>
    <col min="5" max="5" width="7" bestFit="1" customWidth="1"/>
    <col min="6" max="6" width="4.7109375" bestFit="1" customWidth="1"/>
    <col min="7" max="7" width="4" bestFit="1" customWidth="1"/>
    <col min="8" max="8" width="7.85546875" bestFit="1" customWidth="1"/>
    <col min="9" max="9" width="6.42578125" bestFit="1" customWidth="1"/>
    <col min="10" max="10" width="4.42578125" bestFit="1" customWidth="1"/>
    <col min="11" max="12" width="5.42578125" bestFit="1" customWidth="1"/>
    <col min="13" max="13" width="5.5703125" bestFit="1" customWidth="1"/>
    <col min="14" max="14" width="6.7109375" bestFit="1" customWidth="1"/>
    <col min="15" max="15" width="5.28515625" bestFit="1" customWidth="1"/>
    <col min="16" max="16" width="5.85546875" bestFit="1" customWidth="1"/>
    <col min="17" max="17" width="4.42578125" bestFit="1" customWidth="1"/>
    <col min="18" max="18" width="4.28515625" bestFit="1" customWidth="1"/>
    <col min="19" max="19" width="5.28515625" bestFit="1" customWidth="1"/>
    <col min="20" max="20" width="5.5703125" bestFit="1" customWidth="1"/>
    <col min="21" max="21" width="5.28515625" bestFit="1" customWidth="1"/>
    <col min="22" max="22" width="5.85546875" bestFit="1" customWidth="1"/>
    <col min="23" max="23" width="5.42578125" bestFit="1" customWidth="1"/>
    <col min="24" max="24" width="6.5703125" bestFit="1" customWidth="1"/>
    <col min="25" max="25" width="5.28515625" bestFit="1" customWidth="1"/>
    <col min="26" max="26" width="5.85546875" bestFit="1" customWidth="1"/>
    <col min="27" max="27" width="5.140625" bestFit="1" customWidth="1"/>
    <col min="28" max="28" width="7.42578125" bestFit="1" customWidth="1"/>
    <col min="29" max="29" width="5.7109375" bestFit="1" customWidth="1"/>
    <col min="30" max="30" width="7.5703125" bestFit="1" customWidth="1"/>
    <col min="31" max="31" width="5.42578125" bestFit="1" customWidth="1"/>
    <col min="32" max="32" width="6.5703125" bestFit="1" customWidth="1"/>
    <col min="33" max="33" width="6.28515625" bestFit="1" customWidth="1"/>
    <col min="34" max="34" width="6.42578125" bestFit="1" customWidth="1"/>
    <col min="35" max="35" width="8.42578125" bestFit="1" customWidth="1"/>
    <col min="36" max="36" width="9.140625" bestFit="1" customWidth="1"/>
    <col min="37" max="37" width="17.5703125" bestFit="1" customWidth="1"/>
    <col min="40" max="40" width="14" style="1" bestFit="1" customWidth="1"/>
  </cols>
  <sheetData>
    <row r="1" spans="1:40" x14ac:dyDescent="0.25">
      <c r="A1" s="31" t="s">
        <v>0</v>
      </c>
      <c r="B1" s="31" t="s">
        <v>1</v>
      </c>
      <c r="C1" s="31" t="s">
        <v>2</v>
      </c>
      <c r="D1" s="31" t="s">
        <v>3</v>
      </c>
      <c r="E1" s="31" t="s">
        <v>4</v>
      </c>
      <c r="F1" s="31" t="s">
        <v>137</v>
      </c>
      <c r="G1" s="31" t="s">
        <v>138</v>
      </c>
      <c r="H1" s="31" t="s">
        <v>139</v>
      </c>
      <c r="I1" s="31" t="s">
        <v>140</v>
      </c>
      <c r="J1" s="31" t="s">
        <v>5</v>
      </c>
      <c r="K1" s="31" t="s">
        <v>141</v>
      </c>
      <c r="L1" s="31" t="s">
        <v>142</v>
      </c>
      <c r="M1" s="31" t="s">
        <v>143</v>
      </c>
      <c r="N1" s="31" t="s">
        <v>144</v>
      </c>
      <c r="O1" s="31" t="s">
        <v>145</v>
      </c>
      <c r="P1" s="31" t="s">
        <v>146</v>
      </c>
      <c r="Q1" s="31" t="s">
        <v>9</v>
      </c>
      <c r="R1" s="31" t="s">
        <v>8</v>
      </c>
      <c r="S1" s="31" t="s">
        <v>147</v>
      </c>
      <c r="T1" s="31" t="s">
        <v>12</v>
      </c>
      <c r="U1" s="31" t="s">
        <v>16</v>
      </c>
      <c r="V1" s="31" t="s">
        <v>30</v>
      </c>
      <c r="W1" s="31" t="s">
        <v>17</v>
      </c>
      <c r="X1" s="31" t="s">
        <v>27</v>
      </c>
      <c r="Y1" s="31" t="s">
        <v>148</v>
      </c>
      <c r="Z1" s="31" t="s">
        <v>149</v>
      </c>
      <c r="AA1" s="31" t="s">
        <v>150</v>
      </c>
      <c r="AB1" s="31" t="s">
        <v>151</v>
      </c>
      <c r="AC1" s="31" t="s">
        <v>152</v>
      </c>
      <c r="AD1" s="31" t="s">
        <v>153</v>
      </c>
      <c r="AE1" s="31" t="s">
        <v>154</v>
      </c>
      <c r="AF1" s="31" t="s">
        <v>155</v>
      </c>
      <c r="AG1" s="31" t="s">
        <v>156</v>
      </c>
      <c r="AH1" s="31" t="s">
        <v>157</v>
      </c>
      <c r="AI1" s="31" t="s">
        <v>158</v>
      </c>
      <c r="AJ1" s="31" t="s">
        <v>32</v>
      </c>
      <c r="AK1" s="31" t="s">
        <v>33</v>
      </c>
      <c r="AL1" s="31" t="s">
        <v>836</v>
      </c>
      <c r="AM1" s="31" t="s">
        <v>817</v>
      </c>
      <c r="AN1" s="48" t="s">
        <v>840</v>
      </c>
    </row>
    <row r="2" spans="1:40" x14ac:dyDescent="0.25">
      <c r="A2" s="32">
        <v>1</v>
      </c>
      <c r="B2" s="32" t="s">
        <v>657</v>
      </c>
      <c r="C2" s="32">
        <v>28</v>
      </c>
      <c r="D2" s="32" t="s">
        <v>160</v>
      </c>
      <c r="E2" s="32">
        <v>2.5</v>
      </c>
      <c r="F2" s="32">
        <v>15</v>
      </c>
      <c r="G2" s="32">
        <v>10</v>
      </c>
      <c r="H2" s="32">
        <v>0.6</v>
      </c>
      <c r="I2" s="32">
        <v>4.08</v>
      </c>
      <c r="J2" s="32">
        <v>32</v>
      </c>
      <c r="K2" s="32">
        <v>32</v>
      </c>
      <c r="L2" s="32">
        <v>0</v>
      </c>
      <c r="M2" s="32">
        <v>0</v>
      </c>
      <c r="N2" s="32">
        <v>0</v>
      </c>
      <c r="O2" s="32">
        <v>0</v>
      </c>
      <c r="P2" s="32">
        <v>185.1</v>
      </c>
      <c r="Q2" s="32">
        <v>180</v>
      </c>
      <c r="R2" s="32">
        <v>90</v>
      </c>
      <c r="S2" s="32">
        <v>84</v>
      </c>
      <c r="T2" s="32">
        <v>26</v>
      </c>
      <c r="U2" s="32">
        <v>41</v>
      </c>
      <c r="V2" s="32">
        <v>0</v>
      </c>
      <c r="W2" s="32">
        <v>198</v>
      </c>
      <c r="X2" s="32">
        <v>8</v>
      </c>
      <c r="Y2" s="32">
        <v>0</v>
      </c>
      <c r="Z2" s="32">
        <v>3</v>
      </c>
      <c r="AA2" s="32">
        <v>772</v>
      </c>
      <c r="AB2" s="32">
        <v>102</v>
      </c>
      <c r="AC2" s="32">
        <v>3.65</v>
      </c>
      <c r="AD2" s="32">
        <v>1.1919999999999999</v>
      </c>
      <c r="AE2" s="32">
        <v>8.6999999999999993</v>
      </c>
      <c r="AF2" s="32">
        <v>1.3</v>
      </c>
      <c r="AG2" s="32">
        <v>2</v>
      </c>
      <c r="AH2" s="32">
        <v>9.6</v>
      </c>
      <c r="AI2" s="32">
        <v>4.83</v>
      </c>
      <c r="AJ2" s="32" t="s">
        <v>37</v>
      </c>
      <c r="AK2" s="32" t="s">
        <v>658</v>
      </c>
      <c r="AL2" s="32" t="s">
        <v>838</v>
      </c>
      <c r="AM2" s="32" t="s">
        <v>824</v>
      </c>
      <c r="AN2" s="49">
        <f>IFERROR(VLOOKUP(B3,'MIN Salary 2024'!$A$1:$I$40,7,FALSE),"No salary data")</f>
        <v>1142935</v>
      </c>
    </row>
    <row r="3" spans="1:40" x14ac:dyDescent="0.25">
      <c r="A3" s="15">
        <v>2</v>
      </c>
      <c r="B3" s="15" t="s">
        <v>659</v>
      </c>
      <c r="C3" s="15">
        <v>28</v>
      </c>
      <c r="D3" s="15" t="s">
        <v>160</v>
      </c>
      <c r="E3" s="15">
        <v>2.9</v>
      </c>
      <c r="F3" s="15">
        <v>12</v>
      </c>
      <c r="G3" s="15">
        <v>9</v>
      </c>
      <c r="H3" s="15">
        <v>0.57099999999999995</v>
      </c>
      <c r="I3" s="15">
        <v>3.98</v>
      </c>
      <c r="J3" s="15">
        <v>31</v>
      </c>
      <c r="K3" s="15">
        <v>31</v>
      </c>
      <c r="L3" s="15">
        <v>0</v>
      </c>
      <c r="M3" s="15">
        <v>1</v>
      </c>
      <c r="N3" s="15">
        <v>0</v>
      </c>
      <c r="O3" s="15">
        <v>0</v>
      </c>
      <c r="P3" s="15">
        <v>178.2</v>
      </c>
      <c r="Q3" s="15">
        <v>136</v>
      </c>
      <c r="R3" s="15">
        <v>81</v>
      </c>
      <c r="S3" s="15">
        <v>79</v>
      </c>
      <c r="T3" s="15">
        <v>27</v>
      </c>
      <c r="U3" s="15">
        <v>43</v>
      </c>
      <c r="V3" s="15">
        <v>0</v>
      </c>
      <c r="W3" s="15">
        <v>191</v>
      </c>
      <c r="X3" s="15">
        <v>6</v>
      </c>
      <c r="Y3" s="15">
        <v>0</v>
      </c>
      <c r="Z3" s="15">
        <v>1</v>
      </c>
      <c r="AA3" s="15">
        <v>709</v>
      </c>
      <c r="AB3" s="15">
        <v>104</v>
      </c>
      <c r="AC3" s="15">
        <v>3.82</v>
      </c>
      <c r="AD3" s="15">
        <v>1.002</v>
      </c>
      <c r="AE3" s="15">
        <v>6.9</v>
      </c>
      <c r="AF3" s="15">
        <v>1.4</v>
      </c>
      <c r="AG3" s="15">
        <v>2.2000000000000002</v>
      </c>
      <c r="AH3" s="15">
        <v>9.6</v>
      </c>
      <c r="AI3" s="15">
        <v>4.4400000000000004</v>
      </c>
      <c r="AJ3" s="15" t="s">
        <v>37</v>
      </c>
      <c r="AK3" s="15" t="s">
        <v>660</v>
      </c>
      <c r="AL3" s="15" t="s">
        <v>838</v>
      </c>
      <c r="AM3" s="15" t="s">
        <v>824</v>
      </c>
      <c r="AN3" s="49">
        <f>IFERROR(VLOOKUP(B4,'MIN Salary 2024'!$A$1:$I$40,7,FALSE),"No salary data")</f>
        <v>1089904</v>
      </c>
    </row>
    <row r="4" spans="1:40" x14ac:dyDescent="0.25">
      <c r="A4" s="14">
        <v>3</v>
      </c>
      <c r="B4" s="14" t="s">
        <v>661</v>
      </c>
      <c r="C4" s="14">
        <v>28</v>
      </c>
      <c r="D4" s="14" t="s">
        <v>160</v>
      </c>
      <c r="E4" s="14">
        <v>2.2999999999999998</v>
      </c>
      <c r="F4" s="14">
        <v>7</v>
      </c>
      <c r="G4" s="14">
        <v>7</v>
      </c>
      <c r="H4" s="14">
        <v>0.5</v>
      </c>
      <c r="I4" s="14">
        <v>3.6</v>
      </c>
      <c r="J4" s="14">
        <v>23</v>
      </c>
      <c r="K4" s="14">
        <v>23</v>
      </c>
      <c r="L4" s="14">
        <v>0</v>
      </c>
      <c r="M4" s="14">
        <v>0</v>
      </c>
      <c r="N4" s="14">
        <v>0</v>
      </c>
      <c r="O4" s="14">
        <v>0</v>
      </c>
      <c r="P4" s="14">
        <v>135</v>
      </c>
      <c r="Q4" s="14">
        <v>110</v>
      </c>
      <c r="R4" s="14">
        <v>59</v>
      </c>
      <c r="S4" s="14">
        <v>54</v>
      </c>
      <c r="T4" s="14">
        <v>19</v>
      </c>
      <c r="U4" s="14">
        <v>23</v>
      </c>
      <c r="V4" s="14">
        <v>0</v>
      </c>
      <c r="W4" s="14">
        <v>147</v>
      </c>
      <c r="X4" s="14">
        <v>5</v>
      </c>
      <c r="Y4" s="14">
        <v>1</v>
      </c>
      <c r="Z4" s="14">
        <v>2</v>
      </c>
      <c r="AA4" s="14">
        <v>538</v>
      </c>
      <c r="AB4" s="14">
        <v>115</v>
      </c>
      <c r="AC4" s="14">
        <v>3.44</v>
      </c>
      <c r="AD4" s="14">
        <v>0.98499999999999999</v>
      </c>
      <c r="AE4" s="14">
        <v>7.3</v>
      </c>
      <c r="AF4" s="14">
        <v>1.3</v>
      </c>
      <c r="AG4" s="14">
        <v>1.5</v>
      </c>
      <c r="AH4" s="14">
        <v>9.8000000000000007</v>
      </c>
      <c r="AI4" s="14">
        <v>6.39</v>
      </c>
      <c r="AJ4" s="14" t="s">
        <v>37</v>
      </c>
      <c r="AK4" s="14" t="s">
        <v>662</v>
      </c>
      <c r="AL4" s="14" t="s">
        <v>838</v>
      </c>
      <c r="AM4" s="14" t="s">
        <v>824</v>
      </c>
      <c r="AN4" s="49" t="str">
        <f>IFERROR(VLOOKUP(B5,'MIN Salary 2024'!$A$1:$I$40,7,FALSE),"No salary data")</f>
        <v>No salary data</v>
      </c>
    </row>
    <row r="5" spans="1:40" x14ac:dyDescent="0.25">
      <c r="A5" s="15">
        <v>4</v>
      </c>
      <c r="B5" s="15" t="s">
        <v>663</v>
      </c>
      <c r="C5" s="15">
        <v>23</v>
      </c>
      <c r="D5" s="15" t="s">
        <v>160</v>
      </c>
      <c r="E5" s="15">
        <v>2</v>
      </c>
      <c r="F5" s="15">
        <v>5</v>
      </c>
      <c r="G5" s="15">
        <v>5</v>
      </c>
      <c r="H5" s="15">
        <v>0.5</v>
      </c>
      <c r="I5" s="15">
        <v>4.17</v>
      </c>
      <c r="J5" s="15">
        <v>28</v>
      </c>
      <c r="K5" s="15">
        <v>28</v>
      </c>
      <c r="L5" s="15">
        <v>0</v>
      </c>
      <c r="M5" s="15">
        <v>0</v>
      </c>
      <c r="N5" s="15">
        <v>0</v>
      </c>
      <c r="O5" s="15">
        <v>0</v>
      </c>
      <c r="P5" s="15">
        <v>133.19999999999999</v>
      </c>
      <c r="Q5" s="15">
        <v>125</v>
      </c>
      <c r="R5" s="15">
        <v>63</v>
      </c>
      <c r="S5" s="15">
        <v>62</v>
      </c>
      <c r="T5" s="15">
        <v>16</v>
      </c>
      <c r="U5" s="15">
        <v>48</v>
      </c>
      <c r="V5" s="15">
        <v>0</v>
      </c>
      <c r="W5" s="15">
        <v>117</v>
      </c>
      <c r="X5" s="15">
        <v>3</v>
      </c>
      <c r="Y5" s="15">
        <v>0</v>
      </c>
      <c r="Z5" s="15">
        <v>3</v>
      </c>
      <c r="AA5" s="15">
        <v>569</v>
      </c>
      <c r="AB5" s="15">
        <v>99</v>
      </c>
      <c r="AC5" s="15">
        <v>4.12</v>
      </c>
      <c r="AD5" s="15">
        <v>1.294</v>
      </c>
      <c r="AE5" s="15">
        <v>8.4</v>
      </c>
      <c r="AF5" s="15">
        <v>1.1000000000000001</v>
      </c>
      <c r="AG5" s="15">
        <v>3.2</v>
      </c>
      <c r="AH5" s="15">
        <v>7.9</v>
      </c>
      <c r="AI5" s="15">
        <v>2.44</v>
      </c>
      <c r="AJ5" s="15" t="s">
        <v>37</v>
      </c>
      <c r="AK5" s="15" t="s">
        <v>664</v>
      </c>
      <c r="AL5" s="15" t="s">
        <v>838</v>
      </c>
      <c r="AM5" s="15" t="s">
        <v>824</v>
      </c>
      <c r="AN5" s="49">
        <f>IFERROR(VLOOKUP(B6,'MIN Salary 2024'!$A$1:$I$40,7,FALSE),"No salary data")</f>
        <v>2525000</v>
      </c>
    </row>
    <row r="6" spans="1:40" x14ac:dyDescent="0.25">
      <c r="A6" s="14">
        <v>5</v>
      </c>
      <c r="B6" s="14" t="s">
        <v>665</v>
      </c>
      <c r="C6" s="14">
        <v>28</v>
      </c>
      <c r="D6" s="14" t="s">
        <v>160</v>
      </c>
      <c r="E6" s="14">
        <v>0.4</v>
      </c>
      <c r="F6" s="14">
        <v>5</v>
      </c>
      <c r="G6" s="14">
        <v>3</v>
      </c>
      <c r="H6" s="14">
        <v>0.625</v>
      </c>
      <c r="I6" s="14">
        <v>4.99</v>
      </c>
      <c r="J6" s="14">
        <v>17</v>
      </c>
      <c r="K6" s="14">
        <v>17</v>
      </c>
      <c r="L6" s="14">
        <v>0</v>
      </c>
      <c r="M6" s="14">
        <v>0</v>
      </c>
      <c r="N6" s="14">
        <v>0</v>
      </c>
      <c r="O6" s="14">
        <v>0</v>
      </c>
      <c r="P6" s="14">
        <v>88.1</v>
      </c>
      <c r="Q6" s="14">
        <v>102</v>
      </c>
      <c r="R6" s="14">
        <v>50</v>
      </c>
      <c r="S6" s="14">
        <v>49</v>
      </c>
      <c r="T6" s="14">
        <v>14</v>
      </c>
      <c r="U6" s="14">
        <v>21</v>
      </c>
      <c r="V6" s="14">
        <v>0</v>
      </c>
      <c r="W6" s="14">
        <v>79</v>
      </c>
      <c r="X6" s="14">
        <v>1</v>
      </c>
      <c r="Y6" s="14">
        <v>0</v>
      </c>
      <c r="Z6" s="14">
        <v>3</v>
      </c>
      <c r="AA6" s="14">
        <v>384</v>
      </c>
      <c r="AB6" s="14">
        <v>83</v>
      </c>
      <c r="AC6" s="14">
        <v>4.18</v>
      </c>
      <c r="AD6" s="14">
        <v>1.3919999999999999</v>
      </c>
      <c r="AE6" s="14">
        <v>10.4</v>
      </c>
      <c r="AF6" s="14">
        <v>1.4</v>
      </c>
      <c r="AG6" s="14">
        <v>2.1</v>
      </c>
      <c r="AH6" s="14">
        <v>8</v>
      </c>
      <c r="AI6" s="14">
        <v>3.76</v>
      </c>
      <c r="AJ6" s="14" t="s">
        <v>37</v>
      </c>
      <c r="AK6" s="14" t="s">
        <v>666</v>
      </c>
      <c r="AL6" s="14" t="s">
        <v>838</v>
      </c>
      <c r="AM6" s="14" t="s">
        <v>824</v>
      </c>
      <c r="AN6" s="49">
        <f>IFERROR(VLOOKUP(B7,'MIN Salary 2024'!$A$1:$I$40,7,FALSE),"No salary data")</f>
        <v>306306</v>
      </c>
    </row>
    <row r="7" spans="1:40" x14ac:dyDescent="0.25">
      <c r="A7" s="15">
        <v>6</v>
      </c>
      <c r="B7" s="15" t="s">
        <v>667</v>
      </c>
      <c r="C7" s="15">
        <v>24</v>
      </c>
      <c r="D7" s="15" t="s">
        <v>160</v>
      </c>
      <c r="E7" s="15">
        <v>0.5</v>
      </c>
      <c r="F7" s="15">
        <v>2</v>
      </c>
      <c r="G7" s="15">
        <v>6</v>
      </c>
      <c r="H7" s="15">
        <v>0.25</v>
      </c>
      <c r="I7" s="15">
        <v>4.9000000000000004</v>
      </c>
      <c r="J7" s="15">
        <v>14</v>
      </c>
      <c r="K7" s="15">
        <v>13</v>
      </c>
      <c r="L7" s="15">
        <v>0</v>
      </c>
      <c r="M7" s="15">
        <v>0</v>
      </c>
      <c r="N7" s="15">
        <v>0</v>
      </c>
      <c r="O7" s="15">
        <v>0</v>
      </c>
      <c r="P7" s="15">
        <v>64.099999999999994</v>
      </c>
      <c r="Q7" s="15">
        <v>62</v>
      </c>
      <c r="R7" s="15">
        <v>36</v>
      </c>
      <c r="S7" s="15">
        <v>35</v>
      </c>
      <c r="T7" s="15">
        <v>9</v>
      </c>
      <c r="U7" s="15">
        <v>23</v>
      </c>
      <c r="V7" s="15">
        <v>0</v>
      </c>
      <c r="W7" s="15">
        <v>77</v>
      </c>
      <c r="X7" s="15">
        <v>2</v>
      </c>
      <c r="Y7" s="15">
        <v>1</v>
      </c>
      <c r="Z7" s="15">
        <v>2</v>
      </c>
      <c r="AA7" s="15">
        <v>277</v>
      </c>
      <c r="AB7" s="15">
        <v>85</v>
      </c>
      <c r="AC7" s="15">
        <v>3.76</v>
      </c>
      <c r="AD7" s="15">
        <v>1.321</v>
      </c>
      <c r="AE7" s="15">
        <v>8.6999999999999993</v>
      </c>
      <c r="AF7" s="15">
        <v>1.3</v>
      </c>
      <c r="AG7" s="15">
        <v>3.2</v>
      </c>
      <c r="AH7" s="15">
        <v>10.8</v>
      </c>
      <c r="AI7" s="15">
        <v>3.35</v>
      </c>
      <c r="AJ7" s="15" t="s">
        <v>37</v>
      </c>
      <c r="AK7" s="15" t="s">
        <v>668</v>
      </c>
      <c r="AL7" s="15" t="s">
        <v>838</v>
      </c>
      <c r="AM7" s="15" t="s">
        <v>824</v>
      </c>
      <c r="AN7" s="49" t="str">
        <f>IFERROR(VLOOKUP(B8,'MIN Salary 2024'!$A$1:$I$40,7,FALSE),"No salary data")</f>
        <v>No salary data</v>
      </c>
    </row>
    <row r="8" spans="1:40" x14ac:dyDescent="0.25">
      <c r="A8" s="14">
        <v>7</v>
      </c>
      <c r="B8" s="14" t="s">
        <v>669</v>
      </c>
      <c r="C8" s="14">
        <v>26</v>
      </c>
      <c r="D8" s="14" t="s">
        <v>169</v>
      </c>
      <c r="E8" s="14">
        <v>0.2</v>
      </c>
      <c r="F8" s="14">
        <v>6</v>
      </c>
      <c r="G8" s="14">
        <v>9</v>
      </c>
      <c r="H8" s="14">
        <v>0.4</v>
      </c>
      <c r="I8" s="14">
        <v>3.64</v>
      </c>
      <c r="J8" s="14">
        <v>58</v>
      </c>
      <c r="K8" s="14">
        <v>0</v>
      </c>
      <c r="L8" s="14">
        <v>37</v>
      </c>
      <c r="M8" s="14">
        <v>0</v>
      </c>
      <c r="N8" s="14">
        <v>0</v>
      </c>
      <c r="O8" s="14">
        <v>23</v>
      </c>
      <c r="P8" s="14">
        <v>54.1</v>
      </c>
      <c r="Q8" s="14">
        <v>48</v>
      </c>
      <c r="R8" s="14">
        <v>30</v>
      </c>
      <c r="S8" s="14">
        <v>22</v>
      </c>
      <c r="T8" s="14">
        <v>4</v>
      </c>
      <c r="U8" s="14">
        <v>15</v>
      </c>
      <c r="V8" s="14">
        <v>2</v>
      </c>
      <c r="W8" s="14">
        <v>66</v>
      </c>
      <c r="X8" s="14">
        <v>6</v>
      </c>
      <c r="Y8" s="14">
        <v>1</v>
      </c>
      <c r="Z8" s="14">
        <v>1</v>
      </c>
      <c r="AA8" s="14">
        <v>228</v>
      </c>
      <c r="AB8" s="14">
        <v>114</v>
      </c>
      <c r="AC8" s="14">
        <v>2.85</v>
      </c>
      <c r="AD8" s="14">
        <v>1.1599999999999999</v>
      </c>
      <c r="AE8" s="14">
        <v>8</v>
      </c>
      <c r="AF8" s="14">
        <v>0.7</v>
      </c>
      <c r="AG8" s="14">
        <v>2.5</v>
      </c>
      <c r="AH8" s="14">
        <v>10.9</v>
      </c>
      <c r="AI8" s="14">
        <v>4.4000000000000004</v>
      </c>
      <c r="AJ8" s="14" t="s">
        <v>37</v>
      </c>
      <c r="AK8" s="14" t="s">
        <v>670</v>
      </c>
      <c r="AL8" s="14" t="s">
        <v>838</v>
      </c>
      <c r="AM8" s="14" t="s">
        <v>824</v>
      </c>
      <c r="AN8" s="49">
        <f>IFERROR(VLOOKUP(B9,'MIN Salary 2024'!$A$1:$I$40,7,FALSE),"No salary data")</f>
        <v>749450</v>
      </c>
    </row>
    <row r="9" spans="1:40" x14ac:dyDescent="0.25">
      <c r="A9" s="15">
        <v>8</v>
      </c>
      <c r="B9" s="15" t="s">
        <v>671</v>
      </c>
      <c r="C9" s="15">
        <v>26</v>
      </c>
      <c r="D9" s="15" t="s">
        <v>171</v>
      </c>
      <c r="E9" s="15">
        <v>1.3</v>
      </c>
      <c r="F9" s="15">
        <v>9</v>
      </c>
      <c r="G9" s="15">
        <v>1</v>
      </c>
      <c r="H9" s="15">
        <v>0.9</v>
      </c>
      <c r="I9" s="15">
        <v>3.28</v>
      </c>
      <c r="J9" s="15">
        <v>62</v>
      </c>
      <c r="K9" s="15">
        <v>0</v>
      </c>
      <c r="L9" s="15">
        <v>11</v>
      </c>
      <c r="M9" s="15">
        <v>0</v>
      </c>
      <c r="N9" s="15">
        <v>0</v>
      </c>
      <c r="O9" s="15">
        <v>4</v>
      </c>
      <c r="P9" s="15">
        <v>71.099999999999994</v>
      </c>
      <c r="Q9" s="15">
        <v>59</v>
      </c>
      <c r="R9" s="15">
        <v>30</v>
      </c>
      <c r="S9" s="15">
        <v>26</v>
      </c>
      <c r="T9" s="15">
        <v>6</v>
      </c>
      <c r="U9" s="15">
        <v>12</v>
      </c>
      <c r="V9" s="15">
        <v>0</v>
      </c>
      <c r="W9" s="15">
        <v>85</v>
      </c>
      <c r="X9" s="15">
        <v>6</v>
      </c>
      <c r="Y9" s="15">
        <v>1</v>
      </c>
      <c r="Z9" s="15">
        <v>3</v>
      </c>
      <c r="AA9" s="15">
        <v>292</v>
      </c>
      <c r="AB9" s="15">
        <v>127</v>
      </c>
      <c r="AC9" s="15">
        <v>2.63</v>
      </c>
      <c r="AD9" s="15">
        <v>0.995</v>
      </c>
      <c r="AE9" s="15">
        <v>7.4</v>
      </c>
      <c r="AF9" s="15">
        <v>0.8</v>
      </c>
      <c r="AG9" s="15">
        <v>1.5</v>
      </c>
      <c r="AH9" s="15">
        <v>10.7</v>
      </c>
      <c r="AI9" s="15">
        <v>7.08</v>
      </c>
      <c r="AJ9" s="15" t="s">
        <v>37</v>
      </c>
      <c r="AK9" s="15" t="s">
        <v>672</v>
      </c>
      <c r="AL9" s="15" t="s">
        <v>838</v>
      </c>
      <c r="AM9" s="15" t="s">
        <v>824</v>
      </c>
      <c r="AN9" s="49">
        <f>IFERROR(VLOOKUP(B10,'MIN Salary 2024'!$A$1:$I$40,7,FALSE),"No salary data")</f>
        <v>1114602</v>
      </c>
    </row>
    <row r="10" spans="1:40" x14ac:dyDescent="0.25">
      <c r="A10" s="14">
        <v>9</v>
      </c>
      <c r="B10" s="14" t="s">
        <v>673</v>
      </c>
      <c r="C10" s="14">
        <v>29</v>
      </c>
      <c r="D10" s="14" t="s">
        <v>171</v>
      </c>
      <c r="E10" s="14">
        <v>2.8</v>
      </c>
      <c r="F10" s="14">
        <v>5</v>
      </c>
      <c r="G10" s="14">
        <v>5</v>
      </c>
      <c r="H10" s="14">
        <v>0.5</v>
      </c>
      <c r="I10" s="14">
        <v>2.0299999999999998</v>
      </c>
      <c r="J10" s="14">
        <v>72</v>
      </c>
      <c r="K10" s="14">
        <v>0</v>
      </c>
      <c r="L10" s="14">
        <v>16</v>
      </c>
      <c r="M10" s="14">
        <v>0</v>
      </c>
      <c r="N10" s="14">
        <v>0</v>
      </c>
      <c r="O10" s="14">
        <v>10</v>
      </c>
      <c r="P10" s="14">
        <v>71</v>
      </c>
      <c r="Q10" s="14">
        <v>47</v>
      </c>
      <c r="R10" s="14">
        <v>19</v>
      </c>
      <c r="S10" s="14">
        <v>16</v>
      </c>
      <c r="T10" s="14">
        <v>4</v>
      </c>
      <c r="U10" s="14">
        <v>15</v>
      </c>
      <c r="V10" s="14">
        <v>1</v>
      </c>
      <c r="W10" s="14">
        <v>95</v>
      </c>
      <c r="X10" s="14">
        <v>2</v>
      </c>
      <c r="Y10" s="14">
        <v>0</v>
      </c>
      <c r="Z10" s="14">
        <v>4</v>
      </c>
      <c r="AA10" s="14">
        <v>276</v>
      </c>
      <c r="AB10" s="14">
        <v>205</v>
      </c>
      <c r="AC10" s="14">
        <v>1.94</v>
      </c>
      <c r="AD10" s="14">
        <v>0.873</v>
      </c>
      <c r="AE10" s="14">
        <v>6</v>
      </c>
      <c r="AF10" s="14">
        <v>0.5</v>
      </c>
      <c r="AG10" s="14">
        <v>1.9</v>
      </c>
      <c r="AH10" s="14">
        <v>12</v>
      </c>
      <c r="AI10" s="14">
        <v>6.33</v>
      </c>
      <c r="AJ10" s="14" t="s">
        <v>37</v>
      </c>
      <c r="AK10" s="14" t="s">
        <v>674</v>
      </c>
      <c r="AL10" s="14" t="s">
        <v>838</v>
      </c>
      <c r="AM10" s="14" t="s">
        <v>824</v>
      </c>
      <c r="AN10" s="49" t="str">
        <f>IFERROR(VLOOKUP(B11,'MIN Salary 2024'!$A$1:$I$40,7,FALSE),"No salary data")</f>
        <v>No salary data</v>
      </c>
    </row>
    <row r="11" spans="1:40" x14ac:dyDescent="0.25">
      <c r="A11" s="15">
        <v>10</v>
      </c>
      <c r="B11" s="15" t="s">
        <v>675</v>
      </c>
      <c r="C11" s="15">
        <v>28</v>
      </c>
      <c r="D11" s="15" t="s">
        <v>171</v>
      </c>
      <c r="E11" s="15">
        <v>1.4</v>
      </c>
      <c r="F11" s="15">
        <v>4</v>
      </c>
      <c r="G11" s="15">
        <v>3</v>
      </c>
      <c r="H11" s="15">
        <v>0.57099999999999995</v>
      </c>
      <c r="I11" s="15">
        <v>3.24</v>
      </c>
      <c r="J11" s="15">
        <v>54</v>
      </c>
      <c r="K11" s="15">
        <v>0</v>
      </c>
      <c r="L11" s="15">
        <v>5</v>
      </c>
      <c r="M11" s="15">
        <v>0</v>
      </c>
      <c r="N11" s="15">
        <v>0</v>
      </c>
      <c r="O11" s="15">
        <v>0</v>
      </c>
      <c r="P11" s="15">
        <v>58.1</v>
      </c>
      <c r="Q11" s="15">
        <v>40</v>
      </c>
      <c r="R11" s="15">
        <v>23</v>
      </c>
      <c r="S11" s="15">
        <v>21</v>
      </c>
      <c r="T11" s="15">
        <v>8</v>
      </c>
      <c r="U11" s="15">
        <v>20</v>
      </c>
      <c r="V11" s="15">
        <v>1</v>
      </c>
      <c r="W11" s="15">
        <v>58</v>
      </c>
      <c r="X11" s="15">
        <v>3</v>
      </c>
      <c r="Y11" s="15">
        <v>0</v>
      </c>
      <c r="Z11" s="15">
        <v>4</v>
      </c>
      <c r="AA11" s="15">
        <v>235</v>
      </c>
      <c r="AB11" s="15">
        <v>129</v>
      </c>
      <c r="AC11" s="15">
        <v>4.1399999999999997</v>
      </c>
      <c r="AD11" s="15">
        <v>1.0289999999999999</v>
      </c>
      <c r="AE11" s="15">
        <v>6.2</v>
      </c>
      <c r="AF11" s="15">
        <v>1.2</v>
      </c>
      <c r="AG11" s="15">
        <v>3.1</v>
      </c>
      <c r="AH11" s="15">
        <v>8.9</v>
      </c>
      <c r="AI11" s="15">
        <v>2.9</v>
      </c>
      <c r="AJ11" s="15" t="s">
        <v>37</v>
      </c>
      <c r="AK11" s="15" t="s">
        <v>676</v>
      </c>
      <c r="AL11" s="15" t="s">
        <v>838</v>
      </c>
      <c r="AM11" s="15" t="s">
        <v>824</v>
      </c>
      <c r="AN11" s="49">
        <f>IFERROR(VLOOKUP(B12,'MIN Salary 2024'!$A$1:$I$40,7,FALSE),"No salary data")</f>
        <v>3225000</v>
      </c>
    </row>
    <row r="12" spans="1:40" x14ac:dyDescent="0.25">
      <c r="A12" s="14">
        <v>11</v>
      </c>
      <c r="B12" s="14" t="s">
        <v>677</v>
      </c>
      <c r="C12" s="14">
        <v>37</v>
      </c>
      <c r="D12" s="14" t="s">
        <v>171</v>
      </c>
      <c r="E12" s="14">
        <v>-0.6</v>
      </c>
      <c r="F12" s="14">
        <v>2</v>
      </c>
      <c r="G12" s="14">
        <v>4</v>
      </c>
      <c r="H12" s="14">
        <v>0.33300000000000002</v>
      </c>
      <c r="I12" s="14">
        <v>5.32</v>
      </c>
      <c r="J12" s="14">
        <v>59</v>
      </c>
      <c r="K12" s="14">
        <v>0</v>
      </c>
      <c r="L12" s="14">
        <v>18</v>
      </c>
      <c r="M12" s="14">
        <v>0</v>
      </c>
      <c r="N12" s="14">
        <v>0</v>
      </c>
      <c r="O12" s="14">
        <v>3</v>
      </c>
      <c r="P12" s="14">
        <v>47.1</v>
      </c>
      <c r="Q12" s="14">
        <v>50</v>
      </c>
      <c r="R12" s="14">
        <v>33</v>
      </c>
      <c r="S12" s="14">
        <v>28</v>
      </c>
      <c r="T12" s="14">
        <v>6</v>
      </c>
      <c r="U12" s="14">
        <v>24</v>
      </c>
      <c r="V12" s="14">
        <v>2</v>
      </c>
      <c r="W12" s="14">
        <v>53</v>
      </c>
      <c r="X12" s="14">
        <v>0</v>
      </c>
      <c r="Y12" s="14">
        <v>0</v>
      </c>
      <c r="Z12" s="14">
        <v>2</v>
      </c>
      <c r="AA12" s="14">
        <v>216</v>
      </c>
      <c r="AB12" s="14">
        <v>78</v>
      </c>
      <c r="AC12" s="14">
        <v>4.0999999999999996</v>
      </c>
      <c r="AD12" s="14">
        <v>1.5629999999999999</v>
      </c>
      <c r="AE12" s="14">
        <v>9.5</v>
      </c>
      <c r="AF12" s="14">
        <v>1.1000000000000001</v>
      </c>
      <c r="AG12" s="14">
        <v>4.5999999999999996</v>
      </c>
      <c r="AH12" s="14">
        <v>10.1</v>
      </c>
      <c r="AI12" s="14">
        <v>2.21</v>
      </c>
      <c r="AJ12" s="14" t="s">
        <v>37</v>
      </c>
      <c r="AK12" s="14" t="s">
        <v>678</v>
      </c>
      <c r="AL12" s="14" t="s">
        <v>838</v>
      </c>
      <c r="AM12" s="14" t="s">
        <v>824</v>
      </c>
      <c r="AN12" s="49" t="str">
        <f>IFERROR(VLOOKUP(B13,'MIN Salary 2024'!$A$1:$I$40,7,FALSE),"No salary data")</f>
        <v>No salary data</v>
      </c>
    </row>
    <row r="13" spans="1:40" x14ac:dyDescent="0.25">
      <c r="A13" s="15">
        <v>12</v>
      </c>
      <c r="B13" s="15" t="s">
        <v>679</v>
      </c>
      <c r="C13" s="15">
        <v>26</v>
      </c>
      <c r="D13" s="15" t="s">
        <v>37</v>
      </c>
      <c r="E13" s="15">
        <v>-1.4</v>
      </c>
      <c r="F13" s="15">
        <v>0</v>
      </c>
      <c r="G13" s="15">
        <v>6</v>
      </c>
      <c r="H13" s="15">
        <v>0</v>
      </c>
      <c r="I13" s="15">
        <v>7.61</v>
      </c>
      <c r="J13" s="15">
        <v>16</v>
      </c>
      <c r="K13" s="15">
        <v>7</v>
      </c>
      <c r="L13" s="15">
        <v>1</v>
      </c>
      <c r="M13" s="15">
        <v>0</v>
      </c>
      <c r="N13" s="15">
        <v>0</v>
      </c>
      <c r="O13" s="15">
        <v>0</v>
      </c>
      <c r="P13" s="15">
        <v>49.2</v>
      </c>
      <c r="Q13" s="15">
        <v>68</v>
      </c>
      <c r="R13" s="15">
        <v>44</v>
      </c>
      <c r="S13" s="15">
        <v>42</v>
      </c>
      <c r="T13" s="15">
        <v>12</v>
      </c>
      <c r="U13" s="15">
        <v>16</v>
      </c>
      <c r="V13" s="15">
        <v>1</v>
      </c>
      <c r="W13" s="15">
        <v>49</v>
      </c>
      <c r="X13" s="15">
        <v>4</v>
      </c>
      <c r="Y13" s="15">
        <v>0</v>
      </c>
      <c r="Z13" s="15">
        <v>0</v>
      </c>
      <c r="AA13" s="15">
        <v>238</v>
      </c>
      <c r="AB13" s="15">
        <v>55</v>
      </c>
      <c r="AC13" s="15">
        <v>5.54</v>
      </c>
      <c r="AD13" s="15">
        <v>1.6910000000000001</v>
      </c>
      <c r="AE13" s="15">
        <v>12.3</v>
      </c>
      <c r="AF13" s="15">
        <v>2.2000000000000002</v>
      </c>
      <c r="AG13" s="15">
        <v>2.9</v>
      </c>
      <c r="AH13" s="15">
        <v>8.9</v>
      </c>
      <c r="AI13" s="15">
        <v>3.06</v>
      </c>
      <c r="AJ13" s="15" t="s">
        <v>37</v>
      </c>
      <c r="AK13" s="15" t="s">
        <v>680</v>
      </c>
      <c r="AL13" s="15" t="s">
        <v>838</v>
      </c>
      <c r="AM13" s="15" t="s">
        <v>824</v>
      </c>
      <c r="AN13" s="49">
        <f>IFERROR(VLOOKUP(B14,'MIN Salary 2024'!$A$1:$I$40,7,FALSE),"No salary data")</f>
        <v>186966</v>
      </c>
    </row>
    <row r="14" spans="1:40" x14ac:dyDescent="0.25">
      <c r="A14" s="14">
        <v>13</v>
      </c>
      <c r="B14" s="14" t="s">
        <v>681</v>
      </c>
      <c r="C14" s="14">
        <v>24</v>
      </c>
      <c r="D14" s="14" t="s">
        <v>37</v>
      </c>
      <c r="E14" s="14">
        <v>-0.6</v>
      </c>
      <c r="F14" s="14">
        <v>1</v>
      </c>
      <c r="G14" s="14">
        <v>4</v>
      </c>
      <c r="H14" s="14">
        <v>0.2</v>
      </c>
      <c r="I14" s="14">
        <v>6.69</v>
      </c>
      <c r="J14" s="14">
        <v>9</v>
      </c>
      <c r="K14" s="14">
        <v>9</v>
      </c>
      <c r="L14" s="14">
        <v>0</v>
      </c>
      <c r="M14" s="14">
        <v>0</v>
      </c>
      <c r="N14" s="14">
        <v>0</v>
      </c>
      <c r="O14" s="14">
        <v>0</v>
      </c>
      <c r="P14" s="14">
        <v>37.200000000000003</v>
      </c>
      <c r="Q14" s="14">
        <v>51</v>
      </c>
      <c r="R14" s="14">
        <v>31</v>
      </c>
      <c r="S14" s="14">
        <v>28</v>
      </c>
      <c r="T14" s="14">
        <v>11</v>
      </c>
      <c r="U14" s="14">
        <v>11</v>
      </c>
      <c r="V14" s="14">
        <v>0</v>
      </c>
      <c r="W14" s="14">
        <v>43</v>
      </c>
      <c r="X14" s="14">
        <v>2</v>
      </c>
      <c r="Y14" s="14">
        <v>0</v>
      </c>
      <c r="Z14" s="14">
        <v>1</v>
      </c>
      <c r="AA14" s="14">
        <v>177</v>
      </c>
      <c r="AB14" s="14">
        <v>62</v>
      </c>
      <c r="AC14" s="14">
        <v>5.71</v>
      </c>
      <c r="AD14" s="14">
        <v>1.6459999999999999</v>
      </c>
      <c r="AE14" s="14">
        <v>12.2</v>
      </c>
      <c r="AF14" s="14">
        <v>2.6</v>
      </c>
      <c r="AG14" s="14">
        <v>2.6</v>
      </c>
      <c r="AH14" s="14">
        <v>10.3</v>
      </c>
      <c r="AI14" s="14">
        <v>3.91</v>
      </c>
      <c r="AJ14" s="14" t="s">
        <v>37</v>
      </c>
      <c r="AK14" s="14" t="s">
        <v>682</v>
      </c>
      <c r="AL14" s="14" t="s">
        <v>838</v>
      </c>
      <c r="AM14" s="14" t="s">
        <v>824</v>
      </c>
      <c r="AN14" s="49" t="str">
        <f>IFERROR(VLOOKUP(B15,'MIN Salary 2024'!$A$1:$I$40,7,FALSE),"No salary data")</f>
        <v>No salary data</v>
      </c>
    </row>
    <row r="15" spans="1:40" x14ac:dyDescent="0.25">
      <c r="A15" s="15">
        <v>14</v>
      </c>
      <c r="B15" s="15" t="s">
        <v>683</v>
      </c>
      <c r="C15" s="15">
        <v>32</v>
      </c>
      <c r="D15" s="15" t="s">
        <v>37</v>
      </c>
      <c r="E15" s="15">
        <v>-0.3</v>
      </c>
      <c r="F15" s="15">
        <v>3</v>
      </c>
      <c r="G15" s="15">
        <v>2</v>
      </c>
      <c r="H15" s="15">
        <v>0.6</v>
      </c>
      <c r="I15" s="15">
        <v>5.09</v>
      </c>
      <c r="J15" s="15">
        <v>44</v>
      </c>
      <c r="K15" s="15">
        <v>1</v>
      </c>
      <c r="L15" s="15">
        <v>8</v>
      </c>
      <c r="M15" s="15">
        <v>0</v>
      </c>
      <c r="N15" s="15">
        <v>0</v>
      </c>
      <c r="O15" s="15">
        <v>1</v>
      </c>
      <c r="P15" s="15">
        <v>35.1</v>
      </c>
      <c r="Q15" s="15">
        <v>37</v>
      </c>
      <c r="R15" s="15">
        <v>22</v>
      </c>
      <c r="S15" s="15">
        <v>20</v>
      </c>
      <c r="T15" s="15">
        <v>6</v>
      </c>
      <c r="U15" s="15">
        <v>16</v>
      </c>
      <c r="V15" s="15">
        <v>3</v>
      </c>
      <c r="W15" s="15">
        <v>33</v>
      </c>
      <c r="X15" s="15">
        <v>3</v>
      </c>
      <c r="Y15" s="15">
        <v>0</v>
      </c>
      <c r="Z15" s="15">
        <v>2</v>
      </c>
      <c r="AA15" s="15">
        <v>160</v>
      </c>
      <c r="AB15" s="15">
        <v>82</v>
      </c>
      <c r="AC15" s="15">
        <v>5.12</v>
      </c>
      <c r="AD15" s="15">
        <v>1.5</v>
      </c>
      <c r="AE15" s="15">
        <v>9.4</v>
      </c>
      <c r="AF15" s="15">
        <v>1.5</v>
      </c>
      <c r="AG15" s="15">
        <v>4.0999999999999996</v>
      </c>
      <c r="AH15" s="15">
        <v>8.4</v>
      </c>
      <c r="AI15" s="15">
        <v>2.06</v>
      </c>
      <c r="AJ15" s="15" t="s">
        <v>37</v>
      </c>
      <c r="AK15" s="15" t="s">
        <v>684</v>
      </c>
      <c r="AL15" s="15" t="s">
        <v>838</v>
      </c>
      <c r="AM15" s="15" t="s">
        <v>824</v>
      </c>
      <c r="AN15" s="49" t="str">
        <f>IFERROR(VLOOKUP(B16,'MIN Salary 2024'!$A$1:$I$40,7,FALSE),"No salary data")</f>
        <v>No salary data</v>
      </c>
    </row>
    <row r="16" spans="1:40" x14ac:dyDescent="0.25">
      <c r="A16" s="14">
        <v>15</v>
      </c>
      <c r="B16" s="14" t="s">
        <v>685</v>
      </c>
      <c r="C16" s="14">
        <v>27</v>
      </c>
      <c r="D16" s="14" t="s">
        <v>37</v>
      </c>
      <c r="E16" s="14">
        <v>-0.6</v>
      </c>
      <c r="F16" s="14">
        <v>1</v>
      </c>
      <c r="G16" s="14">
        <v>0</v>
      </c>
      <c r="H16" s="14">
        <v>1</v>
      </c>
      <c r="I16" s="14">
        <v>6.49</v>
      </c>
      <c r="J16" s="14">
        <v>27</v>
      </c>
      <c r="K16" s="14">
        <v>0</v>
      </c>
      <c r="L16" s="14">
        <v>6</v>
      </c>
      <c r="M16" s="14">
        <v>0</v>
      </c>
      <c r="N16" s="14">
        <v>0</v>
      </c>
      <c r="O16" s="14">
        <v>1</v>
      </c>
      <c r="P16" s="14">
        <v>34.200000000000003</v>
      </c>
      <c r="Q16" s="14">
        <v>41</v>
      </c>
      <c r="R16" s="14">
        <v>26</v>
      </c>
      <c r="S16" s="14">
        <v>25</v>
      </c>
      <c r="T16" s="14">
        <v>4</v>
      </c>
      <c r="U16" s="14">
        <v>15</v>
      </c>
      <c r="V16" s="14">
        <v>0</v>
      </c>
      <c r="W16" s="14">
        <v>32</v>
      </c>
      <c r="X16" s="14">
        <v>5</v>
      </c>
      <c r="Y16" s="14">
        <v>1</v>
      </c>
      <c r="Z16" s="14">
        <v>4</v>
      </c>
      <c r="AA16" s="14">
        <v>161</v>
      </c>
      <c r="AB16" s="14">
        <v>64</v>
      </c>
      <c r="AC16" s="14">
        <v>4.55</v>
      </c>
      <c r="AD16" s="14">
        <v>1.615</v>
      </c>
      <c r="AE16" s="14">
        <v>10.6</v>
      </c>
      <c r="AF16" s="14">
        <v>1</v>
      </c>
      <c r="AG16" s="14">
        <v>3.9</v>
      </c>
      <c r="AH16" s="14">
        <v>8.3000000000000007</v>
      </c>
      <c r="AI16" s="14">
        <v>2.13</v>
      </c>
      <c r="AJ16" s="14" t="s">
        <v>37</v>
      </c>
      <c r="AK16" s="14" t="s">
        <v>686</v>
      </c>
      <c r="AL16" s="14" t="s">
        <v>838</v>
      </c>
      <c r="AM16" s="14" t="s">
        <v>824</v>
      </c>
      <c r="AN16" s="49" t="str">
        <f>IFERROR(VLOOKUP(B17,'MIN Salary 2024'!$A$1:$I$40,7,FALSE),"No salary data")</f>
        <v>No salary data</v>
      </c>
    </row>
    <row r="17" spans="1:40" x14ac:dyDescent="0.25">
      <c r="A17" s="15">
        <v>16</v>
      </c>
      <c r="B17" s="15" t="s">
        <v>687</v>
      </c>
      <c r="C17" s="15">
        <v>36</v>
      </c>
      <c r="D17" s="15" t="s">
        <v>37</v>
      </c>
      <c r="E17" s="15">
        <v>-0.6</v>
      </c>
      <c r="F17" s="15">
        <v>1</v>
      </c>
      <c r="G17" s="15">
        <v>2</v>
      </c>
      <c r="H17" s="15">
        <v>0.33300000000000002</v>
      </c>
      <c r="I17" s="15">
        <v>7.52</v>
      </c>
      <c r="J17" s="15">
        <v>20</v>
      </c>
      <c r="K17" s="15">
        <v>0</v>
      </c>
      <c r="L17" s="15">
        <v>10</v>
      </c>
      <c r="M17" s="15">
        <v>0</v>
      </c>
      <c r="N17" s="15">
        <v>0</v>
      </c>
      <c r="O17" s="15">
        <v>0</v>
      </c>
      <c r="P17" s="15">
        <v>26.1</v>
      </c>
      <c r="Q17" s="15">
        <v>28</v>
      </c>
      <c r="R17" s="15">
        <v>24</v>
      </c>
      <c r="S17" s="15">
        <v>22</v>
      </c>
      <c r="T17" s="15">
        <v>7</v>
      </c>
      <c r="U17" s="15">
        <v>9</v>
      </c>
      <c r="V17" s="15">
        <v>0</v>
      </c>
      <c r="W17" s="15">
        <v>29</v>
      </c>
      <c r="X17" s="15">
        <v>0</v>
      </c>
      <c r="Y17" s="15">
        <v>0</v>
      </c>
      <c r="Z17" s="15">
        <v>0</v>
      </c>
      <c r="AA17" s="15">
        <v>114</v>
      </c>
      <c r="AB17" s="15">
        <v>56</v>
      </c>
      <c r="AC17" s="15">
        <v>5.44</v>
      </c>
      <c r="AD17" s="15">
        <v>1.405</v>
      </c>
      <c r="AE17" s="15">
        <v>9.6</v>
      </c>
      <c r="AF17" s="15">
        <v>2.4</v>
      </c>
      <c r="AG17" s="15">
        <v>3.1</v>
      </c>
      <c r="AH17" s="15">
        <v>9.9</v>
      </c>
      <c r="AI17" s="15">
        <v>3.22</v>
      </c>
      <c r="AJ17" s="15" t="s">
        <v>37</v>
      </c>
      <c r="AK17" s="15" t="s">
        <v>688</v>
      </c>
      <c r="AL17" s="15" t="s">
        <v>838</v>
      </c>
      <c r="AM17" s="15" t="s">
        <v>824</v>
      </c>
      <c r="AN17" s="49" t="str">
        <f>IFERROR(VLOOKUP(B18,'MIN Salary 2024'!$A$1:$I$40,7,FALSE),"No salary data")</f>
        <v>No salary data</v>
      </c>
    </row>
    <row r="18" spans="1:40" x14ac:dyDescent="0.25">
      <c r="A18" s="14">
        <v>17</v>
      </c>
      <c r="B18" s="14" t="s">
        <v>594</v>
      </c>
      <c r="C18" s="14">
        <v>30</v>
      </c>
      <c r="D18" s="14" t="s">
        <v>37</v>
      </c>
      <c r="E18" s="14">
        <v>0.2</v>
      </c>
      <c r="F18" s="14">
        <v>1</v>
      </c>
      <c r="G18" s="14">
        <v>0</v>
      </c>
      <c r="H18" s="14">
        <v>1</v>
      </c>
      <c r="I18" s="14">
        <v>3.7</v>
      </c>
      <c r="J18" s="14">
        <v>25</v>
      </c>
      <c r="K18" s="14">
        <v>0</v>
      </c>
      <c r="L18" s="14">
        <v>12</v>
      </c>
      <c r="M18" s="14">
        <v>0</v>
      </c>
      <c r="N18" s="14">
        <v>0</v>
      </c>
      <c r="O18" s="14">
        <v>0</v>
      </c>
      <c r="P18" s="14">
        <v>24.1</v>
      </c>
      <c r="Q18" s="14">
        <v>17</v>
      </c>
      <c r="R18" s="14">
        <v>12</v>
      </c>
      <c r="S18" s="14">
        <v>10</v>
      </c>
      <c r="T18" s="14">
        <v>0</v>
      </c>
      <c r="U18" s="14">
        <v>14</v>
      </c>
      <c r="V18" s="14">
        <v>0</v>
      </c>
      <c r="W18" s="14">
        <v>18</v>
      </c>
      <c r="X18" s="14">
        <v>1</v>
      </c>
      <c r="Y18" s="14">
        <v>0</v>
      </c>
      <c r="Z18" s="14">
        <v>1</v>
      </c>
      <c r="AA18" s="14">
        <v>102</v>
      </c>
      <c r="AB18" s="14">
        <v>114</v>
      </c>
      <c r="AC18" s="14">
        <v>3.54</v>
      </c>
      <c r="AD18" s="14">
        <v>1.274</v>
      </c>
      <c r="AE18" s="14">
        <v>6.3</v>
      </c>
      <c r="AF18" s="14">
        <v>0</v>
      </c>
      <c r="AG18" s="14">
        <v>5.2</v>
      </c>
      <c r="AH18" s="14">
        <v>6.7</v>
      </c>
      <c r="AI18" s="14">
        <v>1.29</v>
      </c>
      <c r="AJ18" s="14" t="s">
        <v>37</v>
      </c>
      <c r="AK18" s="14" t="s">
        <v>595</v>
      </c>
      <c r="AL18" s="14" t="s">
        <v>838</v>
      </c>
      <c r="AM18" s="14" t="s">
        <v>824</v>
      </c>
      <c r="AN18" s="49">
        <f>IFERROR(VLOOKUP(B19,'MIN Salary 2024'!$A$1:$I$40,7,FALSE),"No salary data")</f>
        <v>159120</v>
      </c>
    </row>
    <row r="19" spans="1:40" x14ac:dyDescent="0.25">
      <c r="A19" s="15">
        <v>18</v>
      </c>
      <c r="B19" s="15" t="s">
        <v>689</v>
      </c>
      <c r="C19" s="15">
        <v>28</v>
      </c>
      <c r="D19" s="15" t="s">
        <v>37</v>
      </c>
      <c r="E19" s="15">
        <v>0.8</v>
      </c>
      <c r="F19" s="15">
        <v>1</v>
      </c>
      <c r="G19" s="15">
        <v>1</v>
      </c>
      <c r="H19" s="15">
        <v>0.5</v>
      </c>
      <c r="I19" s="15">
        <v>1.77</v>
      </c>
      <c r="J19" s="15">
        <v>12</v>
      </c>
      <c r="K19" s="15">
        <v>0</v>
      </c>
      <c r="L19" s="15">
        <v>4</v>
      </c>
      <c r="M19" s="15">
        <v>0</v>
      </c>
      <c r="N19" s="15">
        <v>0</v>
      </c>
      <c r="O19" s="15">
        <v>0</v>
      </c>
      <c r="P19" s="15">
        <v>20.100000000000001</v>
      </c>
      <c r="Q19" s="15">
        <v>17</v>
      </c>
      <c r="R19" s="15">
        <v>5</v>
      </c>
      <c r="S19" s="15">
        <v>4</v>
      </c>
      <c r="T19" s="15">
        <v>2</v>
      </c>
      <c r="U19" s="15">
        <v>8</v>
      </c>
      <c r="V19" s="15">
        <v>2</v>
      </c>
      <c r="W19" s="15">
        <v>18</v>
      </c>
      <c r="X19" s="15">
        <v>1</v>
      </c>
      <c r="Y19" s="15">
        <v>0</v>
      </c>
      <c r="Z19" s="15">
        <v>0</v>
      </c>
      <c r="AA19" s="15">
        <v>85</v>
      </c>
      <c r="AB19" s="15">
        <v>238</v>
      </c>
      <c r="AC19" s="15">
        <v>4</v>
      </c>
      <c r="AD19" s="15">
        <v>1.23</v>
      </c>
      <c r="AE19" s="15">
        <v>7.5</v>
      </c>
      <c r="AF19" s="15">
        <v>0.9</v>
      </c>
      <c r="AG19" s="15">
        <v>3.5</v>
      </c>
      <c r="AH19" s="15">
        <v>8</v>
      </c>
      <c r="AI19" s="15">
        <v>2.25</v>
      </c>
      <c r="AJ19" s="15" t="s">
        <v>37</v>
      </c>
      <c r="AK19" s="15" t="s">
        <v>690</v>
      </c>
      <c r="AL19" s="15" t="s">
        <v>838</v>
      </c>
      <c r="AM19" s="15" t="s">
        <v>824</v>
      </c>
      <c r="AN19" s="49">
        <f>IFERROR(VLOOKUP(B20,'MIN Salary 2024'!$A$1:$I$40,7,FALSE),"No salary data")</f>
        <v>179010</v>
      </c>
    </row>
    <row r="20" spans="1:40" x14ac:dyDescent="0.25">
      <c r="A20" s="14">
        <v>19</v>
      </c>
      <c r="B20" s="14" t="s">
        <v>691</v>
      </c>
      <c r="C20" s="14">
        <v>24</v>
      </c>
      <c r="D20" s="14" t="s">
        <v>37</v>
      </c>
      <c r="E20" s="14">
        <v>0.3</v>
      </c>
      <c r="F20" s="14">
        <v>1</v>
      </c>
      <c r="G20" s="14">
        <v>1</v>
      </c>
      <c r="H20" s="14">
        <v>0.5</v>
      </c>
      <c r="I20" s="14">
        <v>3.26</v>
      </c>
      <c r="J20" s="14">
        <v>16</v>
      </c>
      <c r="K20" s="14">
        <v>1</v>
      </c>
      <c r="L20" s="14">
        <v>6</v>
      </c>
      <c r="M20" s="14">
        <v>0</v>
      </c>
      <c r="N20" s="14">
        <v>0</v>
      </c>
      <c r="O20" s="14">
        <v>0</v>
      </c>
      <c r="P20" s="14">
        <v>19.100000000000001</v>
      </c>
      <c r="Q20" s="14">
        <v>20</v>
      </c>
      <c r="R20" s="14">
        <v>8</v>
      </c>
      <c r="S20" s="14">
        <v>7</v>
      </c>
      <c r="T20" s="14">
        <v>2</v>
      </c>
      <c r="U20" s="14">
        <v>5</v>
      </c>
      <c r="V20" s="14">
        <v>1</v>
      </c>
      <c r="W20" s="14">
        <v>15</v>
      </c>
      <c r="X20" s="14">
        <v>2</v>
      </c>
      <c r="Y20" s="14">
        <v>0</v>
      </c>
      <c r="Z20" s="14">
        <v>1</v>
      </c>
      <c r="AA20" s="14">
        <v>82</v>
      </c>
      <c r="AB20" s="14">
        <v>129</v>
      </c>
      <c r="AC20" s="14">
        <v>4.05</v>
      </c>
      <c r="AD20" s="14">
        <v>1.2929999999999999</v>
      </c>
      <c r="AE20" s="14">
        <v>9.3000000000000007</v>
      </c>
      <c r="AF20" s="14">
        <v>0.9</v>
      </c>
      <c r="AG20" s="14">
        <v>2.2999999999999998</v>
      </c>
      <c r="AH20" s="14">
        <v>7</v>
      </c>
      <c r="AI20" s="14">
        <v>3</v>
      </c>
      <c r="AJ20" s="14" t="s">
        <v>37</v>
      </c>
      <c r="AK20" s="14" t="s">
        <v>692</v>
      </c>
      <c r="AL20" s="14" t="s">
        <v>838</v>
      </c>
      <c r="AM20" s="14" t="s">
        <v>824</v>
      </c>
      <c r="AN20" s="49">
        <f>IFERROR(VLOOKUP(B21,'MIN Salary 2024'!$A$1:$I$40,7,FALSE),"No salary data")</f>
        <v>177408</v>
      </c>
    </row>
    <row r="21" spans="1:40" x14ac:dyDescent="0.25">
      <c r="A21" s="15">
        <v>20</v>
      </c>
      <c r="B21" s="15" t="s">
        <v>693</v>
      </c>
      <c r="C21" s="15">
        <v>34</v>
      </c>
      <c r="D21" s="15" t="s">
        <v>37</v>
      </c>
      <c r="E21" s="15">
        <v>0.2</v>
      </c>
      <c r="F21" s="15">
        <v>0</v>
      </c>
      <c r="G21" s="15">
        <v>0</v>
      </c>
      <c r="H21" s="15"/>
      <c r="I21" s="15">
        <v>3.86</v>
      </c>
      <c r="J21" s="15">
        <v>13</v>
      </c>
      <c r="K21" s="15">
        <v>0</v>
      </c>
      <c r="L21" s="15">
        <v>4</v>
      </c>
      <c r="M21" s="15">
        <v>0</v>
      </c>
      <c r="N21" s="15">
        <v>0</v>
      </c>
      <c r="O21" s="15">
        <v>0</v>
      </c>
      <c r="P21" s="15">
        <v>16.100000000000001</v>
      </c>
      <c r="Q21" s="15">
        <v>18</v>
      </c>
      <c r="R21" s="15">
        <v>7</v>
      </c>
      <c r="S21" s="15">
        <v>7</v>
      </c>
      <c r="T21" s="15">
        <v>0</v>
      </c>
      <c r="U21" s="15">
        <v>7</v>
      </c>
      <c r="V21" s="15">
        <v>0</v>
      </c>
      <c r="W21" s="15">
        <v>22</v>
      </c>
      <c r="X21" s="15">
        <v>2</v>
      </c>
      <c r="Y21" s="15">
        <v>0</v>
      </c>
      <c r="Z21" s="15">
        <v>0</v>
      </c>
      <c r="AA21" s="15">
        <v>73</v>
      </c>
      <c r="AB21" s="15">
        <v>110</v>
      </c>
      <c r="AC21" s="15">
        <v>2.13</v>
      </c>
      <c r="AD21" s="15">
        <v>1.5309999999999999</v>
      </c>
      <c r="AE21" s="15">
        <v>9.9</v>
      </c>
      <c r="AF21" s="15">
        <v>0</v>
      </c>
      <c r="AG21" s="15">
        <v>3.9</v>
      </c>
      <c r="AH21" s="15">
        <v>12.1</v>
      </c>
      <c r="AI21" s="15">
        <v>3.14</v>
      </c>
      <c r="AJ21" s="15" t="s">
        <v>37</v>
      </c>
      <c r="AK21" s="15" t="s">
        <v>694</v>
      </c>
      <c r="AL21" s="15" t="s">
        <v>838</v>
      </c>
      <c r="AM21" s="15" t="s">
        <v>824</v>
      </c>
      <c r="AN21" s="49">
        <f>IFERROR(VLOOKUP(B22,'MIN Salary 2024'!$A$1:$I$40,7,FALSE),"No salary data")</f>
        <v>900000</v>
      </c>
    </row>
    <row r="22" spans="1:40" x14ac:dyDescent="0.25">
      <c r="A22" s="14">
        <v>21</v>
      </c>
      <c r="B22" s="14" t="s">
        <v>695</v>
      </c>
      <c r="C22" s="14">
        <v>32</v>
      </c>
      <c r="D22" s="14" t="s">
        <v>37</v>
      </c>
      <c r="E22" s="14">
        <v>-0.1</v>
      </c>
      <c r="F22" s="14">
        <v>0</v>
      </c>
      <c r="G22" s="14">
        <v>0</v>
      </c>
      <c r="H22" s="14"/>
      <c r="I22" s="14">
        <v>5.17</v>
      </c>
      <c r="J22" s="14">
        <v>16</v>
      </c>
      <c r="K22" s="14">
        <v>0</v>
      </c>
      <c r="L22" s="14">
        <v>1</v>
      </c>
      <c r="M22" s="14">
        <v>0</v>
      </c>
      <c r="N22" s="14">
        <v>0</v>
      </c>
      <c r="O22" s="14">
        <v>0</v>
      </c>
      <c r="P22" s="14">
        <v>15.2</v>
      </c>
      <c r="Q22" s="14">
        <v>15</v>
      </c>
      <c r="R22" s="14">
        <v>9</v>
      </c>
      <c r="S22" s="14">
        <v>9</v>
      </c>
      <c r="T22" s="14">
        <v>2</v>
      </c>
      <c r="U22" s="14">
        <v>8</v>
      </c>
      <c r="V22" s="14">
        <v>0</v>
      </c>
      <c r="W22" s="14">
        <v>20</v>
      </c>
      <c r="X22" s="14">
        <v>0</v>
      </c>
      <c r="Y22" s="14">
        <v>0</v>
      </c>
      <c r="Z22" s="14">
        <v>0</v>
      </c>
      <c r="AA22" s="14">
        <v>67</v>
      </c>
      <c r="AB22" s="14">
        <v>82</v>
      </c>
      <c r="AC22" s="14">
        <v>3.8</v>
      </c>
      <c r="AD22" s="14">
        <v>1.468</v>
      </c>
      <c r="AE22" s="14">
        <v>8.6</v>
      </c>
      <c r="AF22" s="14">
        <v>1.1000000000000001</v>
      </c>
      <c r="AG22" s="14">
        <v>4.5999999999999996</v>
      </c>
      <c r="AH22" s="14">
        <v>11.5</v>
      </c>
      <c r="AI22" s="14">
        <v>2.5</v>
      </c>
      <c r="AJ22" s="14" t="s">
        <v>37</v>
      </c>
      <c r="AK22" s="14" t="s">
        <v>696</v>
      </c>
      <c r="AL22" s="14" t="s">
        <v>838</v>
      </c>
      <c r="AM22" s="14" t="s">
        <v>824</v>
      </c>
      <c r="AN22" s="49" t="str">
        <f>IFERROR(VLOOKUP(B23,'MIN Salary 2024'!$A$1:$I$40,7,FALSE),"No salary data")</f>
        <v>No salary data</v>
      </c>
    </row>
    <row r="23" spans="1:40" x14ac:dyDescent="0.25">
      <c r="A23" s="15">
        <v>22</v>
      </c>
      <c r="B23" s="15" t="s">
        <v>697</v>
      </c>
      <c r="C23" s="15">
        <v>31</v>
      </c>
      <c r="D23" s="15" t="s">
        <v>37</v>
      </c>
      <c r="E23" s="15">
        <v>0.1</v>
      </c>
      <c r="F23" s="15">
        <v>0</v>
      </c>
      <c r="G23" s="15">
        <v>1</v>
      </c>
      <c r="H23" s="15">
        <v>0</v>
      </c>
      <c r="I23" s="15">
        <v>4.1500000000000004</v>
      </c>
      <c r="J23" s="15">
        <v>10</v>
      </c>
      <c r="K23" s="15">
        <v>0</v>
      </c>
      <c r="L23" s="15">
        <v>3</v>
      </c>
      <c r="M23" s="15">
        <v>0</v>
      </c>
      <c r="N23" s="15">
        <v>0</v>
      </c>
      <c r="O23" s="15">
        <v>1</v>
      </c>
      <c r="P23" s="15">
        <v>13</v>
      </c>
      <c r="Q23" s="15">
        <v>8</v>
      </c>
      <c r="R23" s="15">
        <v>6</v>
      </c>
      <c r="S23" s="15">
        <v>6</v>
      </c>
      <c r="T23" s="15">
        <v>0</v>
      </c>
      <c r="U23" s="15">
        <v>11</v>
      </c>
      <c r="V23" s="15">
        <v>0</v>
      </c>
      <c r="W23" s="15">
        <v>13</v>
      </c>
      <c r="X23" s="15">
        <v>2</v>
      </c>
      <c r="Y23" s="15">
        <v>0</v>
      </c>
      <c r="Z23" s="15">
        <v>7</v>
      </c>
      <c r="AA23" s="15">
        <v>59</v>
      </c>
      <c r="AB23" s="15">
        <v>103</v>
      </c>
      <c r="AC23" s="15">
        <v>4.17</v>
      </c>
      <c r="AD23" s="15">
        <v>1.462</v>
      </c>
      <c r="AE23" s="15">
        <v>5.5</v>
      </c>
      <c r="AF23" s="15">
        <v>0</v>
      </c>
      <c r="AG23" s="15">
        <v>7.6</v>
      </c>
      <c r="AH23" s="15">
        <v>9</v>
      </c>
      <c r="AI23" s="15">
        <v>1.18</v>
      </c>
      <c r="AJ23" s="15" t="s">
        <v>37</v>
      </c>
      <c r="AK23" s="15" t="s">
        <v>698</v>
      </c>
      <c r="AL23" s="15" t="s">
        <v>838</v>
      </c>
      <c r="AM23" s="15" t="s">
        <v>824</v>
      </c>
      <c r="AN23" s="49" t="str">
        <f>IFERROR(VLOOKUP(B24,'MIN Salary 2024'!$A$1:$I$40,7,FALSE),"No salary data")</f>
        <v>No salary data</v>
      </c>
    </row>
    <row r="24" spans="1:40" x14ac:dyDescent="0.25">
      <c r="A24" s="14">
        <v>23</v>
      </c>
      <c r="B24" s="14" t="s">
        <v>652</v>
      </c>
      <c r="C24" s="14">
        <v>30</v>
      </c>
      <c r="D24" s="14" t="s">
        <v>37</v>
      </c>
      <c r="E24" s="14">
        <v>0.2</v>
      </c>
      <c r="F24" s="14">
        <v>0</v>
      </c>
      <c r="G24" s="14">
        <v>0</v>
      </c>
      <c r="H24" s="14"/>
      <c r="I24" s="14">
        <v>2.7</v>
      </c>
      <c r="J24" s="14">
        <v>7</v>
      </c>
      <c r="K24" s="14">
        <v>0</v>
      </c>
      <c r="L24" s="14">
        <v>3</v>
      </c>
      <c r="M24" s="14">
        <v>0</v>
      </c>
      <c r="N24" s="14">
        <v>0</v>
      </c>
      <c r="O24" s="14">
        <v>0</v>
      </c>
      <c r="P24" s="14">
        <v>10</v>
      </c>
      <c r="Q24" s="14">
        <v>8</v>
      </c>
      <c r="R24" s="14">
        <v>3</v>
      </c>
      <c r="S24" s="14">
        <v>3</v>
      </c>
      <c r="T24" s="14">
        <v>0</v>
      </c>
      <c r="U24" s="14">
        <v>8</v>
      </c>
      <c r="V24" s="14">
        <v>0</v>
      </c>
      <c r="W24" s="14">
        <v>6</v>
      </c>
      <c r="X24" s="14">
        <v>0</v>
      </c>
      <c r="Y24" s="14">
        <v>0</v>
      </c>
      <c r="Z24" s="14">
        <v>1</v>
      </c>
      <c r="AA24" s="14">
        <v>43</v>
      </c>
      <c r="AB24" s="14">
        <v>159</v>
      </c>
      <c r="AC24" s="14">
        <v>4.37</v>
      </c>
      <c r="AD24" s="14">
        <v>1.6</v>
      </c>
      <c r="AE24" s="14">
        <v>7.2</v>
      </c>
      <c r="AF24" s="14">
        <v>0</v>
      </c>
      <c r="AG24" s="14">
        <v>7.2</v>
      </c>
      <c r="AH24" s="14">
        <v>5.4</v>
      </c>
      <c r="AI24" s="14">
        <v>0.75</v>
      </c>
      <c r="AJ24" s="14" t="s">
        <v>37</v>
      </c>
      <c r="AK24" s="14" t="s">
        <v>699</v>
      </c>
      <c r="AL24" s="14" t="s">
        <v>838</v>
      </c>
      <c r="AM24" s="14" t="s">
        <v>824</v>
      </c>
      <c r="AN24" s="49">
        <f>IFERROR(VLOOKUP(B25,'MIN Salary 2024'!$A$1:$I$40,7,FALSE),"No salary data")</f>
        <v>2250000</v>
      </c>
    </row>
    <row r="25" spans="1:40" x14ac:dyDescent="0.25">
      <c r="A25" s="15">
        <v>24</v>
      </c>
      <c r="B25" s="15" t="s">
        <v>700</v>
      </c>
      <c r="C25" s="15">
        <v>29</v>
      </c>
      <c r="D25" s="15" t="s">
        <v>37</v>
      </c>
      <c r="E25" s="15">
        <v>0</v>
      </c>
      <c r="F25" s="15">
        <v>0</v>
      </c>
      <c r="G25" s="15">
        <v>0</v>
      </c>
      <c r="H25" s="15"/>
      <c r="I25" s="15">
        <v>5.59</v>
      </c>
      <c r="J25" s="15">
        <v>5</v>
      </c>
      <c r="K25" s="15">
        <v>0</v>
      </c>
      <c r="L25" s="15">
        <v>3</v>
      </c>
      <c r="M25" s="15">
        <v>0</v>
      </c>
      <c r="N25" s="15">
        <v>0</v>
      </c>
      <c r="O25" s="15">
        <v>0</v>
      </c>
      <c r="P25" s="15">
        <v>9.1999999999999993</v>
      </c>
      <c r="Q25" s="15">
        <v>11</v>
      </c>
      <c r="R25" s="15">
        <v>6</v>
      </c>
      <c r="S25" s="15">
        <v>6</v>
      </c>
      <c r="T25" s="15">
        <v>1</v>
      </c>
      <c r="U25" s="15">
        <v>5</v>
      </c>
      <c r="V25" s="15">
        <v>1</v>
      </c>
      <c r="W25" s="15">
        <v>7</v>
      </c>
      <c r="X25" s="15">
        <v>0</v>
      </c>
      <c r="Y25" s="15">
        <v>0</v>
      </c>
      <c r="Z25" s="15">
        <v>1</v>
      </c>
      <c r="AA25" s="15">
        <v>45</v>
      </c>
      <c r="AB25" s="15">
        <v>77</v>
      </c>
      <c r="AC25" s="15">
        <v>4.6100000000000003</v>
      </c>
      <c r="AD25" s="15">
        <v>1.655</v>
      </c>
      <c r="AE25" s="15">
        <v>10.199999999999999</v>
      </c>
      <c r="AF25" s="15">
        <v>0.9</v>
      </c>
      <c r="AG25" s="15">
        <v>4.7</v>
      </c>
      <c r="AH25" s="15">
        <v>6.5</v>
      </c>
      <c r="AI25" s="15">
        <v>1.4</v>
      </c>
      <c r="AJ25" s="15" t="s">
        <v>37</v>
      </c>
      <c r="AK25" s="15" t="s">
        <v>701</v>
      </c>
      <c r="AL25" s="15" t="s">
        <v>838</v>
      </c>
      <c r="AM25" s="15" t="s">
        <v>824</v>
      </c>
      <c r="AN25" s="49" t="str">
        <f>IFERROR(VLOOKUP(B26,'MIN Salary 2024'!$A$1:$I$40,7,FALSE),"No salary data")</f>
        <v>No salary data</v>
      </c>
    </row>
    <row r="26" spans="1:40" x14ac:dyDescent="0.25">
      <c r="A26" s="14">
        <v>25</v>
      </c>
      <c r="B26" s="14" t="s">
        <v>702</v>
      </c>
      <c r="C26" s="14">
        <v>27</v>
      </c>
      <c r="D26" s="14" t="s">
        <v>37</v>
      </c>
      <c r="E26" s="14">
        <v>0.1</v>
      </c>
      <c r="F26" s="14">
        <v>0</v>
      </c>
      <c r="G26" s="14">
        <v>0</v>
      </c>
      <c r="H26" s="14"/>
      <c r="I26" s="14">
        <v>3</v>
      </c>
      <c r="J26" s="14">
        <v>4</v>
      </c>
      <c r="K26" s="14">
        <v>0</v>
      </c>
      <c r="L26" s="14">
        <v>2</v>
      </c>
      <c r="M26" s="14">
        <v>0</v>
      </c>
      <c r="N26" s="14">
        <v>0</v>
      </c>
      <c r="O26" s="14">
        <v>0</v>
      </c>
      <c r="P26" s="14">
        <v>9</v>
      </c>
      <c r="Q26" s="14">
        <v>7</v>
      </c>
      <c r="R26" s="14">
        <v>4</v>
      </c>
      <c r="S26" s="14">
        <v>3</v>
      </c>
      <c r="T26" s="14">
        <v>0</v>
      </c>
      <c r="U26" s="14">
        <v>1</v>
      </c>
      <c r="V26" s="14">
        <v>0</v>
      </c>
      <c r="W26" s="14">
        <v>10</v>
      </c>
      <c r="X26" s="14">
        <v>2</v>
      </c>
      <c r="Y26" s="14">
        <v>0</v>
      </c>
      <c r="Z26" s="14">
        <v>0</v>
      </c>
      <c r="AA26" s="14">
        <v>38</v>
      </c>
      <c r="AB26" s="14">
        <v>144</v>
      </c>
      <c r="AC26" s="14">
        <v>1.94</v>
      </c>
      <c r="AD26" s="14">
        <v>0.88900000000000001</v>
      </c>
      <c r="AE26" s="14">
        <v>7</v>
      </c>
      <c r="AF26" s="14">
        <v>0</v>
      </c>
      <c r="AG26" s="14">
        <v>1</v>
      </c>
      <c r="AH26" s="14">
        <v>10</v>
      </c>
      <c r="AI26" s="14">
        <v>10</v>
      </c>
      <c r="AJ26" s="14" t="s">
        <v>37</v>
      </c>
      <c r="AK26" s="14" t="s">
        <v>703</v>
      </c>
      <c r="AL26" s="14" t="s">
        <v>838</v>
      </c>
      <c r="AM26" s="14" t="s">
        <v>824</v>
      </c>
      <c r="AN26" s="49" t="str">
        <f>IFERROR(VLOOKUP(B27,'MIN Salary 2024'!$A$1:$I$40,7,FALSE),"No salary data")</f>
        <v>No salary data</v>
      </c>
    </row>
    <row r="27" spans="1:40" x14ac:dyDescent="0.25">
      <c r="A27" s="15">
        <v>26</v>
      </c>
      <c r="B27" s="15" t="s">
        <v>704</v>
      </c>
      <c r="C27" s="15">
        <v>33</v>
      </c>
      <c r="D27" s="15" t="s">
        <v>37</v>
      </c>
      <c r="E27" s="15">
        <v>0.2</v>
      </c>
      <c r="F27" s="15">
        <v>0</v>
      </c>
      <c r="G27" s="15">
        <v>0</v>
      </c>
      <c r="H27" s="15"/>
      <c r="I27" s="15">
        <v>2.35</v>
      </c>
      <c r="J27" s="15">
        <v>5</v>
      </c>
      <c r="K27" s="15">
        <v>0</v>
      </c>
      <c r="L27" s="15">
        <v>1</v>
      </c>
      <c r="M27" s="15">
        <v>0</v>
      </c>
      <c r="N27" s="15">
        <v>0</v>
      </c>
      <c r="O27" s="15">
        <v>0</v>
      </c>
      <c r="P27" s="15">
        <v>7.2</v>
      </c>
      <c r="Q27" s="15">
        <v>2</v>
      </c>
      <c r="R27" s="15">
        <v>2</v>
      </c>
      <c r="S27" s="15">
        <v>2</v>
      </c>
      <c r="T27" s="15">
        <v>1</v>
      </c>
      <c r="U27" s="15">
        <v>4</v>
      </c>
      <c r="V27" s="15">
        <v>0</v>
      </c>
      <c r="W27" s="15">
        <v>6</v>
      </c>
      <c r="X27" s="15">
        <v>2</v>
      </c>
      <c r="Y27" s="15">
        <v>0</v>
      </c>
      <c r="Z27" s="15">
        <v>0</v>
      </c>
      <c r="AA27" s="15">
        <v>31</v>
      </c>
      <c r="AB27" s="15">
        <v>185</v>
      </c>
      <c r="AC27" s="15">
        <v>5.64</v>
      </c>
      <c r="AD27" s="15">
        <v>0.78300000000000003</v>
      </c>
      <c r="AE27" s="15">
        <v>2.2999999999999998</v>
      </c>
      <c r="AF27" s="15">
        <v>1.2</v>
      </c>
      <c r="AG27" s="15">
        <v>4.7</v>
      </c>
      <c r="AH27" s="15">
        <v>7</v>
      </c>
      <c r="AI27" s="15">
        <v>1.5</v>
      </c>
      <c r="AJ27" s="15" t="s">
        <v>37</v>
      </c>
      <c r="AK27" s="15" t="s">
        <v>705</v>
      </c>
      <c r="AL27" s="15" t="s">
        <v>838</v>
      </c>
      <c r="AM27" s="15" t="s">
        <v>824</v>
      </c>
      <c r="AN27" s="49" t="str">
        <f>IFERROR(VLOOKUP(B28,'MIN Salary 2024'!$A$1:$I$40,7,FALSE),"No salary data")</f>
        <v>No salary data</v>
      </c>
    </row>
    <row r="28" spans="1:40" x14ac:dyDescent="0.25">
      <c r="A28" s="14">
        <v>27</v>
      </c>
      <c r="B28" s="14" t="s">
        <v>706</v>
      </c>
      <c r="C28" s="14">
        <v>30</v>
      </c>
      <c r="D28" s="14" t="s">
        <v>37</v>
      </c>
      <c r="E28" s="14">
        <v>0</v>
      </c>
      <c r="F28" s="14">
        <v>0</v>
      </c>
      <c r="G28" s="14">
        <v>0</v>
      </c>
      <c r="H28" s="14"/>
      <c r="I28" s="14">
        <v>4.5</v>
      </c>
      <c r="J28" s="14">
        <v>2</v>
      </c>
      <c r="K28" s="14">
        <v>0</v>
      </c>
      <c r="L28" s="14">
        <v>1</v>
      </c>
      <c r="M28" s="14">
        <v>0</v>
      </c>
      <c r="N28" s="14">
        <v>0</v>
      </c>
      <c r="O28" s="14">
        <v>0</v>
      </c>
      <c r="P28" s="14">
        <v>4</v>
      </c>
      <c r="Q28" s="14">
        <v>6</v>
      </c>
      <c r="R28" s="14">
        <v>2</v>
      </c>
      <c r="S28" s="14">
        <v>2</v>
      </c>
      <c r="T28" s="14">
        <v>0</v>
      </c>
      <c r="U28" s="14">
        <v>2</v>
      </c>
      <c r="V28" s="14">
        <v>0</v>
      </c>
      <c r="W28" s="14">
        <v>1</v>
      </c>
      <c r="X28" s="14">
        <v>0</v>
      </c>
      <c r="Y28" s="14">
        <v>0</v>
      </c>
      <c r="Z28" s="14">
        <v>0</v>
      </c>
      <c r="AA28" s="14">
        <v>20</v>
      </c>
      <c r="AB28" s="14">
        <v>101</v>
      </c>
      <c r="AC28" s="14">
        <v>4.17</v>
      </c>
      <c r="AD28" s="14">
        <v>2</v>
      </c>
      <c r="AE28" s="14">
        <v>13.5</v>
      </c>
      <c r="AF28" s="14">
        <v>0</v>
      </c>
      <c r="AG28" s="14">
        <v>4.5</v>
      </c>
      <c r="AH28" s="14">
        <v>2.2999999999999998</v>
      </c>
      <c r="AI28" s="14">
        <v>0.5</v>
      </c>
      <c r="AJ28" s="14" t="s">
        <v>37</v>
      </c>
      <c r="AK28" s="14" t="s">
        <v>707</v>
      </c>
      <c r="AL28" s="14" t="s">
        <v>838</v>
      </c>
      <c r="AM28" s="14" t="s">
        <v>824</v>
      </c>
      <c r="AN28" s="49">
        <f>IFERROR(VLOOKUP(B29,'MIN Salary 2024'!$A$1:$I$40,7,FALSE),"No salary data")</f>
        <v>6250000</v>
      </c>
    </row>
    <row r="29" spans="1:40" x14ac:dyDescent="0.25">
      <c r="A29" s="15">
        <v>28</v>
      </c>
      <c r="B29" s="15" t="s">
        <v>637</v>
      </c>
      <c r="C29" s="15">
        <v>33</v>
      </c>
      <c r="D29" s="15" t="s">
        <v>37</v>
      </c>
      <c r="E29" s="15">
        <v>0</v>
      </c>
      <c r="F29" s="15">
        <v>0</v>
      </c>
      <c r="G29" s="15">
        <v>0</v>
      </c>
      <c r="H29" s="15"/>
      <c r="I29" s="15">
        <v>6.75</v>
      </c>
      <c r="J29" s="15">
        <v>3</v>
      </c>
      <c r="K29" s="15">
        <v>0</v>
      </c>
      <c r="L29" s="15">
        <v>3</v>
      </c>
      <c r="M29" s="15">
        <v>0</v>
      </c>
      <c r="N29" s="15">
        <v>0</v>
      </c>
      <c r="O29" s="15">
        <v>0</v>
      </c>
      <c r="P29" s="15">
        <v>4</v>
      </c>
      <c r="Q29" s="15">
        <v>7</v>
      </c>
      <c r="R29" s="15">
        <v>3</v>
      </c>
      <c r="S29" s="15">
        <v>3</v>
      </c>
      <c r="T29" s="15">
        <v>0</v>
      </c>
      <c r="U29" s="15">
        <v>1</v>
      </c>
      <c r="V29" s="15">
        <v>0</v>
      </c>
      <c r="W29" s="15">
        <v>0</v>
      </c>
      <c r="X29" s="15">
        <v>0</v>
      </c>
      <c r="Y29" s="15">
        <v>0</v>
      </c>
      <c r="Z29" s="15">
        <v>0</v>
      </c>
      <c r="AA29" s="15">
        <v>19</v>
      </c>
      <c r="AB29" s="15">
        <v>67</v>
      </c>
      <c r="AC29" s="15">
        <v>3.92</v>
      </c>
      <c r="AD29" s="15">
        <v>2</v>
      </c>
      <c r="AE29" s="15">
        <v>15.8</v>
      </c>
      <c r="AF29" s="15">
        <v>0</v>
      </c>
      <c r="AG29" s="15">
        <v>2.2999999999999998</v>
      </c>
      <c r="AH29" s="15">
        <v>0</v>
      </c>
      <c r="AI29" s="15">
        <v>0</v>
      </c>
      <c r="AJ29" s="15" t="s">
        <v>37</v>
      </c>
      <c r="AK29" s="15" t="s">
        <v>639</v>
      </c>
      <c r="AL29" s="15" t="s">
        <v>838</v>
      </c>
      <c r="AM29" s="15" t="s">
        <v>824</v>
      </c>
      <c r="AN29" s="49">
        <f>IFERROR(VLOOKUP(B30,'MIN Salary 2024'!$A$1:$I$40,7,FALSE),"No salary data")</f>
        <v>750000</v>
      </c>
    </row>
    <row r="30" spans="1:40" x14ac:dyDescent="0.25">
      <c r="A30" s="14">
        <v>29</v>
      </c>
      <c r="B30" s="14" t="s">
        <v>708</v>
      </c>
      <c r="C30" s="14">
        <v>27</v>
      </c>
      <c r="D30" s="14" t="s">
        <v>37</v>
      </c>
      <c r="E30" s="14">
        <v>0.1</v>
      </c>
      <c r="F30" s="14">
        <v>1</v>
      </c>
      <c r="G30" s="14">
        <v>0</v>
      </c>
      <c r="H30" s="14">
        <v>1</v>
      </c>
      <c r="I30" s="14">
        <v>2.25</v>
      </c>
      <c r="J30" s="14">
        <v>2</v>
      </c>
      <c r="K30" s="14">
        <v>0</v>
      </c>
      <c r="L30" s="14">
        <v>0</v>
      </c>
      <c r="M30" s="14">
        <v>0</v>
      </c>
      <c r="N30" s="14">
        <v>0</v>
      </c>
      <c r="O30" s="14">
        <v>0</v>
      </c>
      <c r="P30" s="14">
        <v>4</v>
      </c>
      <c r="Q30" s="14">
        <v>2</v>
      </c>
      <c r="R30" s="14">
        <v>1</v>
      </c>
      <c r="S30" s="14">
        <v>1</v>
      </c>
      <c r="T30" s="14">
        <v>1</v>
      </c>
      <c r="U30" s="14">
        <v>1</v>
      </c>
      <c r="V30" s="14">
        <v>0</v>
      </c>
      <c r="W30" s="14">
        <v>3</v>
      </c>
      <c r="X30" s="14">
        <v>0</v>
      </c>
      <c r="Y30" s="14">
        <v>0</v>
      </c>
      <c r="Z30" s="14">
        <v>0</v>
      </c>
      <c r="AA30" s="14">
        <v>15</v>
      </c>
      <c r="AB30" s="14">
        <v>201</v>
      </c>
      <c r="AC30" s="14">
        <v>5.67</v>
      </c>
      <c r="AD30" s="14">
        <v>0.75</v>
      </c>
      <c r="AE30" s="14">
        <v>4.5</v>
      </c>
      <c r="AF30" s="14">
        <v>2.2999999999999998</v>
      </c>
      <c r="AG30" s="14">
        <v>2.2999999999999998</v>
      </c>
      <c r="AH30" s="14">
        <v>6.8</v>
      </c>
      <c r="AI30" s="14">
        <v>3</v>
      </c>
      <c r="AJ30" s="14" t="s">
        <v>37</v>
      </c>
      <c r="AK30" s="14" t="s">
        <v>709</v>
      </c>
      <c r="AL30" s="14" t="s">
        <v>838</v>
      </c>
      <c r="AM30" s="14" t="s">
        <v>824</v>
      </c>
      <c r="AN30" s="49" t="str">
        <f>IFERROR(VLOOKUP(B31,'MIN Salary 2024'!$A$1:$I$40,7,FALSE),"No salary data")</f>
        <v>No salary data</v>
      </c>
    </row>
    <row r="31" spans="1:40" x14ac:dyDescent="0.25">
      <c r="A31" s="15">
        <v>30</v>
      </c>
      <c r="B31" s="15" t="s">
        <v>710</v>
      </c>
      <c r="C31" s="15">
        <v>30</v>
      </c>
      <c r="D31" s="15" t="s">
        <v>37</v>
      </c>
      <c r="E31" s="15">
        <v>-0.3</v>
      </c>
      <c r="F31" s="15">
        <v>0</v>
      </c>
      <c r="G31" s="15">
        <v>1</v>
      </c>
      <c r="H31" s="15">
        <v>0</v>
      </c>
      <c r="I31" s="15">
        <v>12.27</v>
      </c>
      <c r="J31" s="15">
        <v>4</v>
      </c>
      <c r="K31" s="15">
        <v>0</v>
      </c>
      <c r="L31" s="15">
        <v>1</v>
      </c>
      <c r="M31" s="15">
        <v>0</v>
      </c>
      <c r="N31" s="15">
        <v>0</v>
      </c>
      <c r="O31" s="15">
        <v>0</v>
      </c>
      <c r="P31" s="15">
        <v>3.2</v>
      </c>
      <c r="Q31" s="15">
        <v>6</v>
      </c>
      <c r="R31" s="15">
        <v>5</v>
      </c>
      <c r="S31" s="15">
        <v>5</v>
      </c>
      <c r="T31" s="15">
        <v>1</v>
      </c>
      <c r="U31" s="15">
        <v>4</v>
      </c>
      <c r="V31" s="15">
        <v>0</v>
      </c>
      <c r="W31" s="15">
        <v>2</v>
      </c>
      <c r="X31" s="15">
        <v>1</v>
      </c>
      <c r="Y31" s="15">
        <v>0</v>
      </c>
      <c r="Z31" s="15">
        <v>1</v>
      </c>
      <c r="AA31" s="15">
        <v>22</v>
      </c>
      <c r="AB31" s="15">
        <v>37</v>
      </c>
      <c r="AC31" s="15">
        <v>9.7100000000000009</v>
      </c>
      <c r="AD31" s="15">
        <v>2.7269999999999999</v>
      </c>
      <c r="AE31" s="15">
        <v>14.7</v>
      </c>
      <c r="AF31" s="15">
        <v>2.5</v>
      </c>
      <c r="AG31" s="15">
        <v>9.8000000000000007</v>
      </c>
      <c r="AH31" s="15">
        <v>4.9000000000000004</v>
      </c>
      <c r="AI31" s="15">
        <v>0.5</v>
      </c>
      <c r="AJ31" s="15" t="s">
        <v>37</v>
      </c>
      <c r="AK31" s="15" t="s">
        <v>711</v>
      </c>
      <c r="AL31" s="15" t="s">
        <v>838</v>
      </c>
      <c r="AM31" s="15" t="s">
        <v>824</v>
      </c>
      <c r="AN31" s="49" t="str">
        <f>IFERROR(VLOOKUP(B32,'MIN Salary 2024'!$A$1:$I$40,7,FALSE),"No salary data")</f>
        <v>No salary data</v>
      </c>
    </row>
    <row r="32" spans="1:40" x14ac:dyDescent="0.25">
      <c r="A32" s="14">
        <v>31</v>
      </c>
      <c r="B32" s="14" t="s">
        <v>712</v>
      </c>
      <c r="C32" s="14">
        <v>26</v>
      </c>
      <c r="D32" s="14" t="s">
        <v>37</v>
      </c>
      <c r="E32" s="14">
        <v>0.1</v>
      </c>
      <c r="F32" s="14">
        <v>0</v>
      </c>
      <c r="G32" s="14">
        <v>0</v>
      </c>
      <c r="H32" s="14"/>
      <c r="I32" s="14">
        <v>3</v>
      </c>
      <c r="J32" s="14">
        <v>1</v>
      </c>
      <c r="K32" s="14">
        <v>0</v>
      </c>
      <c r="L32" s="14">
        <v>0</v>
      </c>
      <c r="M32" s="14">
        <v>0</v>
      </c>
      <c r="N32" s="14">
        <v>0</v>
      </c>
      <c r="O32" s="14">
        <v>0</v>
      </c>
      <c r="P32" s="14">
        <v>3</v>
      </c>
      <c r="Q32" s="14">
        <v>2</v>
      </c>
      <c r="R32" s="14">
        <v>1</v>
      </c>
      <c r="S32" s="14">
        <v>1</v>
      </c>
      <c r="T32" s="14">
        <v>1</v>
      </c>
      <c r="U32" s="14">
        <v>2</v>
      </c>
      <c r="V32" s="14">
        <v>0</v>
      </c>
      <c r="W32" s="14">
        <v>5</v>
      </c>
      <c r="X32" s="14">
        <v>0</v>
      </c>
      <c r="Y32" s="14">
        <v>0</v>
      </c>
      <c r="Z32" s="14">
        <v>0</v>
      </c>
      <c r="AA32" s="14">
        <v>13</v>
      </c>
      <c r="AB32" s="14">
        <v>155</v>
      </c>
      <c r="AC32" s="14">
        <v>6.17</v>
      </c>
      <c r="AD32" s="14">
        <v>1.333</v>
      </c>
      <c r="AE32" s="14">
        <v>6</v>
      </c>
      <c r="AF32" s="14">
        <v>3</v>
      </c>
      <c r="AG32" s="14">
        <v>6</v>
      </c>
      <c r="AH32" s="14">
        <v>15</v>
      </c>
      <c r="AI32" s="14">
        <v>2.5</v>
      </c>
      <c r="AJ32" s="14" t="s">
        <v>37</v>
      </c>
      <c r="AK32" s="14" t="s">
        <v>713</v>
      </c>
      <c r="AL32" s="14" t="s">
        <v>838</v>
      </c>
      <c r="AM32" s="14" t="s">
        <v>824</v>
      </c>
      <c r="AN32" s="49">
        <f>IFERROR(VLOOKUP(B33,'MIN Salary 2024'!$A$1:$I$40,7,FALSE),"No salary data")</f>
        <v>1250000</v>
      </c>
    </row>
    <row r="33" spans="1:40" x14ac:dyDescent="0.25">
      <c r="A33" s="15">
        <v>32</v>
      </c>
      <c r="B33" s="15" t="s">
        <v>714</v>
      </c>
      <c r="C33" s="15">
        <v>33</v>
      </c>
      <c r="D33" s="15" t="s">
        <v>37</v>
      </c>
      <c r="E33" s="15">
        <v>0.2</v>
      </c>
      <c r="F33" s="15">
        <v>0</v>
      </c>
      <c r="G33" s="15">
        <v>0</v>
      </c>
      <c r="H33" s="15"/>
      <c r="I33" s="15">
        <v>0</v>
      </c>
      <c r="J33" s="15">
        <v>3</v>
      </c>
      <c r="K33" s="15">
        <v>0</v>
      </c>
      <c r="L33" s="15">
        <v>2</v>
      </c>
      <c r="M33" s="15">
        <v>0</v>
      </c>
      <c r="N33" s="15">
        <v>0</v>
      </c>
      <c r="O33" s="15">
        <v>0</v>
      </c>
      <c r="P33" s="15">
        <v>2.1</v>
      </c>
      <c r="Q33" s="15">
        <v>1</v>
      </c>
      <c r="R33" s="15">
        <v>0</v>
      </c>
      <c r="S33" s="15">
        <v>0</v>
      </c>
      <c r="T33" s="15">
        <v>0</v>
      </c>
      <c r="U33" s="15">
        <v>0</v>
      </c>
      <c r="V33" s="15">
        <v>0</v>
      </c>
      <c r="W33" s="15">
        <v>2</v>
      </c>
      <c r="X33" s="15">
        <v>0</v>
      </c>
      <c r="Y33" s="15">
        <v>0</v>
      </c>
      <c r="Z33" s="15">
        <v>0</v>
      </c>
      <c r="AA33" s="15">
        <v>8</v>
      </c>
      <c r="AB33" s="15"/>
      <c r="AC33" s="15">
        <v>1.45</v>
      </c>
      <c r="AD33" s="15">
        <v>0.42899999999999999</v>
      </c>
      <c r="AE33" s="15">
        <v>3.9</v>
      </c>
      <c r="AF33" s="15">
        <v>0</v>
      </c>
      <c r="AG33" s="15">
        <v>0</v>
      </c>
      <c r="AH33" s="15">
        <v>7.7</v>
      </c>
      <c r="AI33" s="15"/>
      <c r="AJ33" s="15" t="s">
        <v>37</v>
      </c>
      <c r="AK33" s="15" t="s">
        <v>715</v>
      </c>
      <c r="AL33" s="15" t="s">
        <v>838</v>
      </c>
      <c r="AM33" s="15" t="s">
        <v>824</v>
      </c>
      <c r="AN33" s="49">
        <f>IFERROR(VLOOKUP(B34,'MIN Salary 2024'!$A$1:$I$40,7,FALSE),"No salary data")</f>
        <v>673128</v>
      </c>
    </row>
    <row r="34" spans="1:40" x14ac:dyDescent="0.25">
      <c r="A34" s="14">
        <v>33</v>
      </c>
      <c r="B34" s="14" t="s">
        <v>716</v>
      </c>
      <c r="C34" s="14">
        <v>26</v>
      </c>
      <c r="D34" s="14" t="s">
        <v>37</v>
      </c>
      <c r="E34" s="14">
        <v>0.1</v>
      </c>
      <c r="F34" s="14">
        <v>0</v>
      </c>
      <c r="G34" s="14">
        <v>0</v>
      </c>
      <c r="H34" s="14"/>
      <c r="I34" s="14">
        <v>0</v>
      </c>
      <c r="J34" s="14">
        <v>1</v>
      </c>
      <c r="K34" s="14">
        <v>0</v>
      </c>
      <c r="L34" s="14">
        <v>1</v>
      </c>
      <c r="M34" s="14">
        <v>0</v>
      </c>
      <c r="N34" s="14">
        <v>0</v>
      </c>
      <c r="O34" s="14">
        <v>0</v>
      </c>
      <c r="P34" s="14">
        <v>1.1000000000000001</v>
      </c>
      <c r="Q34" s="14">
        <v>2</v>
      </c>
      <c r="R34" s="14">
        <v>0</v>
      </c>
      <c r="S34" s="14">
        <v>0</v>
      </c>
      <c r="T34" s="14">
        <v>0</v>
      </c>
      <c r="U34" s="14">
        <v>0</v>
      </c>
      <c r="V34" s="14">
        <v>0</v>
      </c>
      <c r="W34" s="14">
        <v>0</v>
      </c>
      <c r="X34" s="14">
        <v>0</v>
      </c>
      <c r="Y34" s="14">
        <v>0</v>
      </c>
      <c r="Z34" s="14">
        <v>0</v>
      </c>
      <c r="AA34" s="14">
        <v>6</v>
      </c>
      <c r="AB34" s="14"/>
      <c r="AC34" s="14">
        <v>3.17</v>
      </c>
      <c r="AD34" s="14">
        <v>1.5</v>
      </c>
      <c r="AE34" s="14">
        <v>13.5</v>
      </c>
      <c r="AF34" s="14">
        <v>0</v>
      </c>
      <c r="AG34" s="14">
        <v>0</v>
      </c>
      <c r="AH34" s="14">
        <v>0</v>
      </c>
      <c r="AI34" s="14"/>
      <c r="AJ34" s="14" t="s">
        <v>37</v>
      </c>
      <c r="AK34" s="14" t="s">
        <v>633</v>
      </c>
      <c r="AL34" s="14" t="s">
        <v>838</v>
      </c>
      <c r="AM34" s="14" t="s">
        <v>824</v>
      </c>
      <c r="AN34" s="49">
        <f>IFERROR(VLOOKUP(B35,'MIN Salary 2024'!$A$1:$I$40,7,FALSE),"No salary data")</f>
        <v>3300000</v>
      </c>
    </row>
    <row r="35" spans="1:40" x14ac:dyDescent="0.25">
      <c r="A35" s="17">
        <v>34</v>
      </c>
      <c r="B35" s="17" t="s">
        <v>717</v>
      </c>
      <c r="C35" s="17">
        <v>27</v>
      </c>
      <c r="D35" s="17" t="s">
        <v>37</v>
      </c>
      <c r="E35" s="17">
        <v>0.1</v>
      </c>
      <c r="F35" s="17">
        <v>0</v>
      </c>
      <c r="G35" s="17">
        <v>0</v>
      </c>
      <c r="H35" s="17"/>
      <c r="I35" s="17">
        <v>0</v>
      </c>
      <c r="J35" s="17">
        <v>2</v>
      </c>
      <c r="K35" s="17">
        <v>0</v>
      </c>
      <c r="L35" s="17">
        <v>2</v>
      </c>
      <c r="M35" s="17">
        <v>0</v>
      </c>
      <c r="N35" s="17">
        <v>0</v>
      </c>
      <c r="O35" s="17">
        <v>0</v>
      </c>
      <c r="P35" s="17">
        <v>1.1000000000000001</v>
      </c>
      <c r="Q35" s="17">
        <v>0</v>
      </c>
      <c r="R35" s="17">
        <v>0</v>
      </c>
      <c r="S35" s="17">
        <v>0</v>
      </c>
      <c r="T35" s="17">
        <v>0</v>
      </c>
      <c r="U35" s="17">
        <v>0</v>
      </c>
      <c r="V35" s="17">
        <v>0</v>
      </c>
      <c r="W35" s="17">
        <v>0</v>
      </c>
      <c r="X35" s="17">
        <v>0</v>
      </c>
      <c r="Y35" s="17">
        <v>0</v>
      </c>
      <c r="Z35" s="17">
        <v>0</v>
      </c>
      <c r="AA35" s="17">
        <v>4</v>
      </c>
      <c r="AB35" s="17"/>
      <c r="AC35" s="17">
        <v>3.17</v>
      </c>
      <c r="AD35" s="17">
        <v>0</v>
      </c>
      <c r="AE35" s="17">
        <v>0</v>
      </c>
      <c r="AF35" s="17">
        <v>0</v>
      </c>
      <c r="AG35" s="17">
        <v>0</v>
      </c>
      <c r="AH35" s="17">
        <v>0</v>
      </c>
      <c r="AI35" s="17"/>
      <c r="AJ35" s="17" t="s">
        <v>163</v>
      </c>
      <c r="AK35" s="17" t="s">
        <v>624</v>
      </c>
      <c r="AL35" s="17" t="s">
        <v>838</v>
      </c>
      <c r="AM35" s="17" t="s">
        <v>824</v>
      </c>
      <c r="AN35" s="49" t="str">
        <f>IFERROR(VLOOKUP(B36,'MIN Salary 2024'!$A$1:$I$40,7,FALSE),"No salary data")</f>
        <v>No salary data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426EF1-CC3A-45A4-9C1E-10C131C01195}">
  <sheetPr codeName="Sheet15"/>
  <dimension ref="A1:L40"/>
  <sheetViews>
    <sheetView workbookViewId="0">
      <selection activeCell="H9" sqref="H9"/>
    </sheetView>
  </sheetViews>
  <sheetFormatPr defaultRowHeight="15" x14ac:dyDescent="0.25"/>
  <cols>
    <col min="1" max="1" width="18.28515625" bestFit="1" customWidth="1"/>
    <col min="4" max="4" width="21" bestFit="1" customWidth="1"/>
    <col min="5" max="5" width="14.28515625" style="1" bestFit="1" customWidth="1"/>
    <col min="6" max="6" width="14.140625" customWidth="1"/>
    <col min="7" max="7" width="14.28515625" style="1" bestFit="1" customWidth="1"/>
    <col min="8" max="8" width="14.85546875" style="1" customWidth="1"/>
    <col min="9" max="9" width="15.5703125" customWidth="1"/>
    <col min="12" max="12" width="14.28515625" bestFit="1" customWidth="1"/>
  </cols>
  <sheetData>
    <row r="1" spans="1:12" x14ac:dyDescent="0.25">
      <c r="A1" s="33" t="s">
        <v>1</v>
      </c>
      <c r="B1" s="33" t="s">
        <v>3</v>
      </c>
      <c r="C1" s="33" t="s">
        <v>2</v>
      </c>
      <c r="D1" s="33" t="s">
        <v>718</v>
      </c>
      <c r="E1" s="34" t="s">
        <v>719</v>
      </c>
      <c r="F1" s="33" t="s">
        <v>720</v>
      </c>
      <c r="G1" s="34" t="s">
        <v>721</v>
      </c>
      <c r="H1" s="34" t="s">
        <v>722</v>
      </c>
      <c r="I1" s="33" t="s">
        <v>723</v>
      </c>
      <c r="L1" s="2" t="s">
        <v>833</v>
      </c>
    </row>
    <row r="2" spans="1:12" x14ac:dyDescent="0.25">
      <c r="A2" s="35" t="s">
        <v>605</v>
      </c>
      <c r="B2" s="35" t="s">
        <v>47</v>
      </c>
      <c r="C2" s="35">
        <v>29</v>
      </c>
      <c r="D2" s="35" t="s">
        <v>725</v>
      </c>
      <c r="E2" s="36">
        <v>33433333</v>
      </c>
      <c r="F2" s="37">
        <v>0.1411</v>
      </c>
      <c r="G2" s="36">
        <v>36100000</v>
      </c>
      <c r="H2" s="36">
        <v>33333333</v>
      </c>
      <c r="I2" s="35">
        <v>2033</v>
      </c>
    </row>
    <row r="3" spans="1:12" x14ac:dyDescent="0.25">
      <c r="A3" s="15" t="s">
        <v>657</v>
      </c>
      <c r="B3" s="15" t="s">
        <v>160</v>
      </c>
      <c r="C3" s="15">
        <v>28</v>
      </c>
      <c r="D3" s="15" t="s">
        <v>730</v>
      </c>
      <c r="E3" s="38">
        <v>18375000</v>
      </c>
      <c r="F3" s="39">
        <v>7.7499999999999999E-2</v>
      </c>
      <c r="G3" s="38">
        <v>9000000</v>
      </c>
      <c r="H3" s="38">
        <v>8250000</v>
      </c>
      <c r="I3" s="15">
        <v>2028</v>
      </c>
    </row>
    <row r="4" spans="1:12" x14ac:dyDescent="0.25">
      <c r="A4" s="14" t="s">
        <v>614</v>
      </c>
      <c r="B4" s="14" t="s">
        <v>58</v>
      </c>
      <c r="C4" s="14">
        <v>30</v>
      </c>
      <c r="D4" s="14"/>
      <c r="E4" s="40">
        <v>14285714</v>
      </c>
      <c r="F4" s="41">
        <v>6.0299999999999999E-2</v>
      </c>
      <c r="G4" s="40">
        <v>15000000</v>
      </c>
      <c r="H4" s="40">
        <v>15142857</v>
      </c>
      <c r="I4" s="14">
        <v>2029</v>
      </c>
    </row>
    <row r="5" spans="1:12" x14ac:dyDescent="0.25">
      <c r="A5" s="15" t="s">
        <v>799</v>
      </c>
      <c r="B5" s="15" t="s">
        <v>58</v>
      </c>
      <c r="C5" s="15">
        <v>33</v>
      </c>
      <c r="D5" s="15" t="s">
        <v>725</v>
      </c>
      <c r="E5" s="38">
        <v>10000000</v>
      </c>
      <c r="F5" s="39">
        <v>4.2200000000000001E-2</v>
      </c>
      <c r="G5" s="38">
        <v>10000000</v>
      </c>
      <c r="H5" s="38">
        <v>10000000</v>
      </c>
      <c r="I5" s="15">
        <v>2026</v>
      </c>
    </row>
    <row r="6" spans="1:12" x14ac:dyDescent="0.25">
      <c r="A6" s="14" t="s">
        <v>637</v>
      </c>
      <c r="B6" s="14" t="s">
        <v>47</v>
      </c>
      <c r="C6" s="14">
        <v>33</v>
      </c>
      <c r="D6" s="14" t="s">
        <v>800</v>
      </c>
      <c r="E6" s="40">
        <v>6300000</v>
      </c>
      <c r="F6" s="41">
        <v>2.6599999999999999E-2</v>
      </c>
      <c r="G6" s="40">
        <v>6250000</v>
      </c>
      <c r="H6" s="40">
        <v>6250000</v>
      </c>
      <c r="I6" s="14"/>
    </row>
    <row r="7" spans="1:12" x14ac:dyDescent="0.25">
      <c r="A7" s="15" t="s">
        <v>611</v>
      </c>
      <c r="B7" s="15" t="s">
        <v>62</v>
      </c>
      <c r="C7" s="15">
        <v>29</v>
      </c>
      <c r="D7" s="15" t="s">
        <v>725</v>
      </c>
      <c r="E7" s="38">
        <v>6000000</v>
      </c>
      <c r="F7" s="39">
        <v>2.53E-2</v>
      </c>
      <c r="G7" s="38">
        <v>4000000</v>
      </c>
      <c r="H7" s="38">
        <v>4000000</v>
      </c>
      <c r="I7" s="15">
        <v>2026</v>
      </c>
    </row>
    <row r="8" spans="1:12" x14ac:dyDescent="0.25">
      <c r="A8" s="14" t="s">
        <v>801</v>
      </c>
      <c r="B8" s="14" t="s">
        <v>40</v>
      </c>
      <c r="C8" s="14">
        <v>38</v>
      </c>
      <c r="D8" s="14" t="s">
        <v>725</v>
      </c>
      <c r="E8" s="40">
        <v>5250000</v>
      </c>
      <c r="F8" s="41">
        <v>2.2200000000000001E-2</v>
      </c>
      <c r="G8" s="40">
        <v>5500000</v>
      </c>
      <c r="H8" s="40">
        <v>5500000</v>
      </c>
      <c r="I8" s="14"/>
    </row>
    <row r="9" spans="1:12" x14ac:dyDescent="0.25">
      <c r="A9" s="15" t="s">
        <v>717</v>
      </c>
      <c r="B9" s="15" t="s">
        <v>58</v>
      </c>
      <c r="C9" s="15">
        <v>27</v>
      </c>
      <c r="D9" s="15" t="s">
        <v>726</v>
      </c>
      <c r="E9" s="38">
        <v>3300000</v>
      </c>
      <c r="F9" s="39">
        <v>1.3899999999999999E-2</v>
      </c>
      <c r="G9" s="38">
        <v>3300000</v>
      </c>
      <c r="H9" s="38">
        <v>3300000</v>
      </c>
      <c r="I9" s="15"/>
    </row>
    <row r="10" spans="1:12" x14ac:dyDescent="0.25">
      <c r="A10" s="14" t="s">
        <v>802</v>
      </c>
      <c r="B10" s="14" t="s">
        <v>171</v>
      </c>
      <c r="C10" s="14">
        <v>37</v>
      </c>
      <c r="D10" s="14" t="s">
        <v>803</v>
      </c>
      <c r="E10" s="40">
        <v>3225000</v>
      </c>
      <c r="F10" s="41">
        <v>1.3599999999999999E-2</v>
      </c>
      <c r="G10" s="40">
        <v>3225000</v>
      </c>
      <c r="H10" s="40">
        <v>3225000</v>
      </c>
      <c r="I10" s="14"/>
    </row>
    <row r="11" spans="1:12" x14ac:dyDescent="0.25">
      <c r="A11" s="15" t="s">
        <v>596</v>
      </c>
      <c r="B11" s="15" t="s">
        <v>58</v>
      </c>
      <c r="C11" s="15">
        <v>27</v>
      </c>
      <c r="D11" s="15" t="s">
        <v>727</v>
      </c>
      <c r="E11" s="38">
        <v>2425000</v>
      </c>
      <c r="F11" s="39">
        <v>1.0200000000000001E-2</v>
      </c>
      <c r="G11" s="38">
        <v>2425000</v>
      </c>
      <c r="H11" s="38">
        <v>2425000</v>
      </c>
      <c r="I11" s="15"/>
    </row>
    <row r="12" spans="1:12" x14ac:dyDescent="0.25">
      <c r="A12" s="14" t="s">
        <v>700</v>
      </c>
      <c r="B12" s="14" t="s">
        <v>804</v>
      </c>
      <c r="C12" s="14">
        <v>29</v>
      </c>
      <c r="D12" s="14"/>
      <c r="E12" s="40">
        <v>1850000</v>
      </c>
      <c r="F12" s="41">
        <v>7.7999999999999996E-3</v>
      </c>
      <c r="G12" s="40">
        <v>2250000</v>
      </c>
      <c r="H12" s="40">
        <v>2250000</v>
      </c>
      <c r="I12" s="14">
        <v>2029</v>
      </c>
    </row>
    <row r="13" spans="1:12" x14ac:dyDescent="0.25">
      <c r="A13" s="15" t="s">
        <v>714</v>
      </c>
      <c r="B13" s="15" t="s">
        <v>171</v>
      </c>
      <c r="C13" s="15">
        <v>33</v>
      </c>
      <c r="D13" s="15" t="s">
        <v>727</v>
      </c>
      <c r="E13" s="38">
        <v>1250000</v>
      </c>
      <c r="F13" s="39">
        <v>5.3E-3</v>
      </c>
      <c r="G13" s="38">
        <v>1250000</v>
      </c>
      <c r="H13" s="38">
        <v>1250000</v>
      </c>
      <c r="I13" s="15"/>
    </row>
    <row r="14" spans="1:12" x14ac:dyDescent="0.25">
      <c r="A14" s="14" t="s">
        <v>805</v>
      </c>
      <c r="B14" s="14" t="s">
        <v>171</v>
      </c>
      <c r="C14" s="14">
        <v>28</v>
      </c>
      <c r="D14" s="14" t="s">
        <v>726</v>
      </c>
      <c r="E14" s="40">
        <v>845000</v>
      </c>
      <c r="F14" s="41">
        <v>3.5999999999999999E-3</v>
      </c>
      <c r="G14" s="40">
        <v>790000</v>
      </c>
      <c r="H14" s="40">
        <v>790000</v>
      </c>
      <c r="I14" s="14">
        <v>2027</v>
      </c>
    </row>
    <row r="15" spans="1:12" x14ac:dyDescent="0.25">
      <c r="A15" s="15" t="s">
        <v>659</v>
      </c>
      <c r="B15" s="15" t="s">
        <v>160</v>
      </c>
      <c r="C15" s="15">
        <v>28</v>
      </c>
      <c r="D15" s="15" t="s">
        <v>728</v>
      </c>
      <c r="E15" s="38">
        <v>761850</v>
      </c>
      <c r="F15" s="39">
        <v>3.2000000000000002E-3</v>
      </c>
      <c r="G15" s="38">
        <v>1142935</v>
      </c>
      <c r="H15" s="38">
        <v>761850</v>
      </c>
      <c r="I15" s="15"/>
    </row>
    <row r="16" spans="1:12" x14ac:dyDescent="0.25">
      <c r="A16" s="14" t="s">
        <v>673</v>
      </c>
      <c r="B16" s="14" t="s">
        <v>171</v>
      </c>
      <c r="C16" s="14">
        <v>29</v>
      </c>
      <c r="D16" s="14" t="s">
        <v>728</v>
      </c>
      <c r="E16" s="40">
        <v>761750</v>
      </c>
      <c r="F16" s="41">
        <v>3.2000000000000002E-3</v>
      </c>
      <c r="G16" s="40">
        <v>1114602</v>
      </c>
      <c r="H16" s="40">
        <v>761750</v>
      </c>
      <c r="I16" s="14"/>
    </row>
    <row r="17" spans="1:9" x14ac:dyDescent="0.25">
      <c r="A17" s="15" t="s">
        <v>671</v>
      </c>
      <c r="B17" s="15" t="s">
        <v>171</v>
      </c>
      <c r="C17" s="15">
        <v>26</v>
      </c>
      <c r="D17" s="15" t="s">
        <v>728</v>
      </c>
      <c r="E17" s="38">
        <v>749450</v>
      </c>
      <c r="F17" s="39">
        <v>3.2000000000000002E-3</v>
      </c>
      <c r="G17" s="38">
        <v>749450</v>
      </c>
      <c r="H17" s="38">
        <v>749450</v>
      </c>
      <c r="I17" s="15"/>
    </row>
    <row r="18" spans="1:9" x14ac:dyDescent="0.25">
      <c r="A18" s="14" t="s">
        <v>806</v>
      </c>
      <c r="B18" s="14" t="s">
        <v>171</v>
      </c>
      <c r="C18" s="14">
        <v>26</v>
      </c>
      <c r="D18" s="14" t="s">
        <v>728</v>
      </c>
      <c r="E18" s="40">
        <v>747200</v>
      </c>
      <c r="F18" s="41">
        <v>3.2000000000000002E-3</v>
      </c>
      <c r="G18" s="40">
        <v>747200</v>
      </c>
      <c r="H18" s="40">
        <v>747200</v>
      </c>
      <c r="I18" s="14"/>
    </row>
    <row r="19" spans="1:9" x14ac:dyDescent="0.25">
      <c r="A19" s="15" t="s">
        <v>625</v>
      </c>
      <c r="B19" s="15" t="s">
        <v>11</v>
      </c>
      <c r="C19" s="15">
        <v>25</v>
      </c>
      <c r="D19" s="15" t="s">
        <v>728</v>
      </c>
      <c r="E19" s="38">
        <v>745700</v>
      </c>
      <c r="F19" s="39">
        <v>3.0999999999999999E-3</v>
      </c>
      <c r="G19" s="38">
        <v>745700</v>
      </c>
      <c r="H19" s="38">
        <v>745700</v>
      </c>
      <c r="I19" s="15"/>
    </row>
    <row r="20" spans="1:9" x14ac:dyDescent="0.25">
      <c r="A20" s="14" t="s">
        <v>634</v>
      </c>
      <c r="B20" s="14" t="s">
        <v>47</v>
      </c>
      <c r="C20" s="14">
        <v>25</v>
      </c>
      <c r="D20" s="14" t="s">
        <v>728</v>
      </c>
      <c r="E20" s="40">
        <v>560898</v>
      </c>
      <c r="F20" s="41">
        <v>2.3999999999999998E-3</v>
      </c>
      <c r="G20" s="40">
        <v>560898</v>
      </c>
      <c r="H20" s="40">
        <v>560898</v>
      </c>
      <c r="I20" s="14"/>
    </row>
    <row r="21" spans="1:9" x14ac:dyDescent="0.25">
      <c r="A21" s="15" t="s">
        <v>807</v>
      </c>
      <c r="B21" s="15" t="s">
        <v>10</v>
      </c>
      <c r="C21" s="15">
        <v>25</v>
      </c>
      <c r="D21" s="15" t="s">
        <v>728</v>
      </c>
      <c r="E21" s="38">
        <v>481800</v>
      </c>
      <c r="F21" s="39">
        <v>2E-3</v>
      </c>
      <c r="G21" s="38">
        <v>481800</v>
      </c>
      <c r="H21" s="38">
        <v>481800</v>
      </c>
      <c r="I21" s="15"/>
    </row>
    <row r="22" spans="1:9" x14ac:dyDescent="0.25">
      <c r="A22" s="14" t="s">
        <v>808</v>
      </c>
      <c r="B22" s="14" t="s">
        <v>47</v>
      </c>
      <c r="C22" s="14">
        <v>23</v>
      </c>
      <c r="D22" s="14" t="s">
        <v>728</v>
      </c>
      <c r="E22" s="40">
        <v>350064</v>
      </c>
      <c r="F22" s="41">
        <v>1.5E-3</v>
      </c>
      <c r="G22" s="40">
        <v>350064</v>
      </c>
      <c r="H22" s="40">
        <v>350064</v>
      </c>
      <c r="I22" s="14"/>
    </row>
    <row r="23" spans="1:9" x14ac:dyDescent="0.25">
      <c r="A23" s="15" t="s">
        <v>667</v>
      </c>
      <c r="B23" s="15" t="s">
        <v>809</v>
      </c>
      <c r="C23" s="15">
        <v>24</v>
      </c>
      <c r="D23" s="15" t="s">
        <v>728</v>
      </c>
      <c r="E23" s="38">
        <v>306306</v>
      </c>
      <c r="F23" s="39">
        <v>1.2999999999999999E-3</v>
      </c>
      <c r="G23" s="38">
        <v>306306</v>
      </c>
      <c r="H23" s="38">
        <v>306306</v>
      </c>
      <c r="I23" s="15"/>
    </row>
    <row r="24" spans="1:9" x14ac:dyDescent="0.25">
      <c r="A24" s="14" t="s">
        <v>810</v>
      </c>
      <c r="B24" s="14" t="s">
        <v>160</v>
      </c>
      <c r="C24" s="14">
        <v>26</v>
      </c>
      <c r="D24" s="14" t="s">
        <v>728</v>
      </c>
      <c r="E24" s="40">
        <v>220440</v>
      </c>
      <c r="F24" s="41">
        <v>8.9999999999999998E-4</v>
      </c>
      <c r="G24" s="40">
        <v>220440</v>
      </c>
      <c r="H24" s="40">
        <v>220440</v>
      </c>
      <c r="I24" s="14"/>
    </row>
    <row r="25" spans="1:9" x14ac:dyDescent="0.25">
      <c r="A25" s="15" t="s">
        <v>681</v>
      </c>
      <c r="B25" s="15" t="s">
        <v>160</v>
      </c>
      <c r="C25" s="15">
        <v>24</v>
      </c>
      <c r="D25" s="15" t="s">
        <v>728</v>
      </c>
      <c r="E25" s="38">
        <v>186966</v>
      </c>
      <c r="F25" s="39">
        <v>8.0000000000000004E-4</v>
      </c>
      <c r="G25" s="38">
        <v>186966</v>
      </c>
      <c r="H25" s="38">
        <v>186966</v>
      </c>
      <c r="I25" s="15"/>
    </row>
    <row r="26" spans="1:9" x14ac:dyDescent="0.25">
      <c r="A26" s="14" t="s">
        <v>691</v>
      </c>
      <c r="B26" s="14" t="s">
        <v>171</v>
      </c>
      <c r="C26" s="14">
        <v>24</v>
      </c>
      <c r="D26" s="14" t="s">
        <v>728</v>
      </c>
      <c r="E26" s="40">
        <v>179010</v>
      </c>
      <c r="F26" s="41">
        <v>8.0000000000000004E-4</v>
      </c>
      <c r="G26" s="40">
        <v>179010</v>
      </c>
      <c r="H26" s="40">
        <v>179010</v>
      </c>
      <c r="I26" s="14"/>
    </row>
    <row r="27" spans="1:9" x14ac:dyDescent="0.25">
      <c r="A27" s="15" t="s">
        <v>693</v>
      </c>
      <c r="B27" s="15" t="s">
        <v>171</v>
      </c>
      <c r="C27" s="15">
        <v>34</v>
      </c>
      <c r="D27" s="15" t="s">
        <v>725</v>
      </c>
      <c r="E27" s="38">
        <v>177408</v>
      </c>
      <c r="F27" s="39">
        <v>6.9999999999999999E-4</v>
      </c>
      <c r="G27" s="38">
        <v>177408</v>
      </c>
      <c r="H27" s="38">
        <v>177408</v>
      </c>
      <c r="I27" s="15"/>
    </row>
    <row r="28" spans="1:9" x14ac:dyDescent="0.25">
      <c r="A28" s="14" t="s">
        <v>689</v>
      </c>
      <c r="B28" s="14" t="s">
        <v>171</v>
      </c>
      <c r="C28" s="14">
        <v>28</v>
      </c>
      <c r="D28" s="14" t="s">
        <v>728</v>
      </c>
      <c r="E28" s="40">
        <v>159120</v>
      </c>
      <c r="F28" s="41">
        <v>6.9999999999999999E-4</v>
      </c>
      <c r="G28" s="40">
        <v>159120</v>
      </c>
      <c r="H28" s="40">
        <v>159120</v>
      </c>
      <c r="I28" s="14"/>
    </row>
    <row r="29" spans="1:9" x14ac:dyDescent="0.25">
      <c r="A29" s="15" t="s">
        <v>649</v>
      </c>
      <c r="B29" s="15" t="s">
        <v>10</v>
      </c>
      <c r="C29" s="15">
        <v>28</v>
      </c>
      <c r="D29" s="15" t="s">
        <v>728</v>
      </c>
      <c r="E29" s="38">
        <v>51714</v>
      </c>
      <c r="F29" s="39">
        <v>2.0000000000000001E-4</v>
      </c>
      <c r="G29" s="38">
        <v>51714</v>
      </c>
      <c r="H29" s="38">
        <v>51714</v>
      </c>
      <c r="I29" s="15"/>
    </row>
    <row r="30" spans="1:9" x14ac:dyDescent="0.25">
      <c r="A30" s="14" t="s">
        <v>811</v>
      </c>
      <c r="B30" s="14" t="s">
        <v>74</v>
      </c>
      <c r="C30" s="14">
        <v>27</v>
      </c>
      <c r="D30" s="14" t="s">
        <v>728</v>
      </c>
      <c r="E30" s="40">
        <v>43758</v>
      </c>
      <c r="F30" s="41">
        <v>2.0000000000000001E-4</v>
      </c>
      <c r="G30" s="40">
        <v>43758</v>
      </c>
      <c r="H30" s="40">
        <v>43758</v>
      </c>
      <c r="I30" s="14"/>
    </row>
    <row r="31" spans="1:9" x14ac:dyDescent="0.25">
      <c r="A31" s="42" t="s">
        <v>812</v>
      </c>
      <c r="B31" s="42" t="s">
        <v>62</v>
      </c>
      <c r="C31" s="42">
        <v>31</v>
      </c>
      <c r="D31" s="42" t="s">
        <v>725</v>
      </c>
      <c r="E31" s="43">
        <v>9000000</v>
      </c>
      <c r="F31" s="42"/>
      <c r="G31" s="43">
        <v>10000000</v>
      </c>
      <c r="H31" s="43">
        <v>10000000</v>
      </c>
      <c r="I31" s="42"/>
    </row>
    <row r="32" spans="1:9" x14ac:dyDescent="0.25">
      <c r="A32" s="42" t="s">
        <v>665</v>
      </c>
      <c r="B32" s="42" t="s">
        <v>160</v>
      </c>
      <c r="C32" s="42">
        <v>28</v>
      </c>
      <c r="D32" s="42" t="s">
        <v>730</v>
      </c>
      <c r="E32" s="43">
        <v>4175000</v>
      </c>
      <c r="F32" s="42"/>
      <c r="G32" s="43">
        <v>2525000</v>
      </c>
      <c r="H32" s="43">
        <v>2525000</v>
      </c>
      <c r="I32" s="42">
        <v>2026</v>
      </c>
    </row>
    <row r="33" spans="1:9" x14ac:dyDescent="0.25">
      <c r="A33" s="42" t="s">
        <v>813</v>
      </c>
      <c r="B33" s="42" t="s">
        <v>171</v>
      </c>
      <c r="C33" s="42">
        <v>34</v>
      </c>
      <c r="D33" s="42" t="s">
        <v>725</v>
      </c>
      <c r="E33" s="43">
        <v>4000000</v>
      </c>
      <c r="F33" s="42"/>
      <c r="G33" s="43">
        <v>4000000</v>
      </c>
      <c r="H33" s="43">
        <v>4000000</v>
      </c>
      <c r="I33" s="42">
        <v>2025</v>
      </c>
    </row>
    <row r="34" spans="1:9" x14ac:dyDescent="0.25">
      <c r="A34" s="42" t="s">
        <v>814</v>
      </c>
      <c r="B34" s="42" t="s">
        <v>40</v>
      </c>
      <c r="C34" s="42">
        <v>26</v>
      </c>
      <c r="D34" s="42" t="s">
        <v>753</v>
      </c>
      <c r="E34" s="43">
        <v>1350000</v>
      </c>
      <c r="F34" s="42"/>
      <c r="G34" s="43">
        <v>1350000</v>
      </c>
      <c r="H34" s="43">
        <v>1350000</v>
      </c>
      <c r="I34" s="42">
        <v>2028</v>
      </c>
    </row>
    <row r="35" spans="1:9" x14ac:dyDescent="0.25">
      <c r="A35" s="42" t="s">
        <v>695</v>
      </c>
      <c r="B35" s="42" t="s">
        <v>171</v>
      </c>
      <c r="C35" s="42">
        <v>32</v>
      </c>
      <c r="D35" s="42" t="s">
        <v>728</v>
      </c>
      <c r="E35" s="43">
        <v>900000</v>
      </c>
      <c r="F35" s="42"/>
      <c r="G35" s="43">
        <v>900000</v>
      </c>
      <c r="H35" s="43">
        <v>900000</v>
      </c>
      <c r="I35" s="42"/>
    </row>
    <row r="36" spans="1:9" x14ac:dyDescent="0.25">
      <c r="A36" s="42" t="s">
        <v>661</v>
      </c>
      <c r="B36" s="42" t="s">
        <v>160</v>
      </c>
      <c r="C36" s="42">
        <v>28</v>
      </c>
      <c r="D36" s="42" t="s">
        <v>728</v>
      </c>
      <c r="E36" s="43">
        <v>758850</v>
      </c>
      <c r="F36" s="42"/>
      <c r="G36" s="43">
        <v>1089904</v>
      </c>
      <c r="H36" s="43">
        <v>758850</v>
      </c>
      <c r="I36" s="42"/>
    </row>
    <row r="37" spans="1:9" x14ac:dyDescent="0.25">
      <c r="A37" s="42" t="s">
        <v>708</v>
      </c>
      <c r="B37" s="42" t="s">
        <v>171</v>
      </c>
      <c r="C37" s="42">
        <v>27</v>
      </c>
      <c r="D37" s="42" t="s">
        <v>728</v>
      </c>
      <c r="E37" s="43">
        <v>750000</v>
      </c>
      <c r="F37" s="42"/>
      <c r="G37" s="43">
        <v>750000</v>
      </c>
      <c r="H37" s="43">
        <v>750000</v>
      </c>
      <c r="I37" s="42"/>
    </row>
    <row r="38" spans="1:9" x14ac:dyDescent="0.25">
      <c r="A38" s="42" t="s">
        <v>815</v>
      </c>
      <c r="B38" s="42" t="s">
        <v>11</v>
      </c>
      <c r="C38" s="42">
        <v>26</v>
      </c>
      <c r="D38" s="42" t="s">
        <v>728</v>
      </c>
      <c r="E38" s="43">
        <v>692172</v>
      </c>
      <c r="F38" s="44">
        <v>2.8999999999999998E-3</v>
      </c>
      <c r="G38" s="43">
        <v>692172</v>
      </c>
      <c r="H38" s="43">
        <v>692172</v>
      </c>
      <c r="I38" s="42"/>
    </row>
    <row r="39" spans="1:9" x14ac:dyDescent="0.25">
      <c r="A39" s="42" t="s">
        <v>816</v>
      </c>
      <c r="B39" s="42" t="s">
        <v>54</v>
      </c>
      <c r="C39" s="42">
        <v>27</v>
      </c>
      <c r="D39" s="42" t="s">
        <v>728</v>
      </c>
      <c r="E39" s="43">
        <v>660348</v>
      </c>
      <c r="F39" s="44">
        <v>2.8E-3</v>
      </c>
      <c r="G39" s="43">
        <v>660348</v>
      </c>
      <c r="H39" s="43">
        <v>660348</v>
      </c>
      <c r="I39" s="42"/>
    </row>
    <row r="40" spans="1:9" x14ac:dyDescent="0.25">
      <c r="A40" s="45" t="s">
        <v>716</v>
      </c>
      <c r="B40" s="45" t="s">
        <v>66</v>
      </c>
      <c r="C40" s="45">
        <v>26</v>
      </c>
      <c r="D40" s="45" t="s">
        <v>728</v>
      </c>
      <c r="E40" s="46">
        <v>416832</v>
      </c>
      <c r="F40" s="47">
        <v>1.8E-3</v>
      </c>
      <c r="G40" s="46">
        <v>673128</v>
      </c>
      <c r="H40" s="46">
        <v>416832</v>
      </c>
      <c r="I40" s="45"/>
    </row>
  </sheetData>
  <phoneticPr fontId="9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8CAB12-5E5C-4780-9164-FFBA42698574}">
  <sheetPr codeName="Sheet16"/>
  <dimension ref="A1:D6"/>
  <sheetViews>
    <sheetView workbookViewId="0">
      <selection activeCell="J3" sqref="J3"/>
    </sheetView>
  </sheetViews>
  <sheetFormatPr defaultRowHeight="15" x14ac:dyDescent="0.25"/>
  <cols>
    <col min="2" max="2" width="21.85546875" customWidth="1"/>
    <col min="3" max="3" width="12.5703125" bestFit="1" customWidth="1"/>
    <col min="4" max="4" width="12.85546875" bestFit="1" customWidth="1"/>
  </cols>
  <sheetData>
    <row r="1" spans="1:4" x14ac:dyDescent="0.25">
      <c r="A1" t="s">
        <v>817</v>
      </c>
      <c r="B1" t="s">
        <v>818</v>
      </c>
      <c r="C1" t="s">
        <v>819</v>
      </c>
      <c r="D1" t="s">
        <v>721</v>
      </c>
    </row>
    <row r="2" spans="1:4" x14ac:dyDescent="0.25">
      <c r="A2" s="21" t="s">
        <v>820</v>
      </c>
      <c r="B2" s="22">
        <v>140497547</v>
      </c>
      <c r="C2" s="22">
        <v>137080061</v>
      </c>
      <c r="D2" s="22" t="s">
        <v>834</v>
      </c>
    </row>
    <row r="3" spans="1:4" x14ac:dyDescent="0.25">
      <c r="A3" s="23" t="s">
        <v>821</v>
      </c>
      <c r="B3" s="24">
        <v>105224582</v>
      </c>
      <c r="C3" s="24">
        <v>108616860</v>
      </c>
      <c r="D3" s="24">
        <v>133971569</v>
      </c>
    </row>
    <row r="4" spans="1:4" x14ac:dyDescent="0.25">
      <c r="A4" s="25" t="s">
        <v>822</v>
      </c>
      <c r="B4" s="26">
        <v>96971614</v>
      </c>
      <c r="C4" s="26">
        <v>157084177</v>
      </c>
      <c r="D4" s="26" t="s">
        <v>835</v>
      </c>
    </row>
    <row r="5" spans="1:4" x14ac:dyDescent="0.25">
      <c r="A5" s="27" t="s">
        <v>823</v>
      </c>
      <c r="B5" s="28">
        <v>125470914</v>
      </c>
      <c r="C5" s="28">
        <v>77421412</v>
      </c>
      <c r="D5" s="28">
        <v>156415991</v>
      </c>
    </row>
    <row r="6" spans="1:4" x14ac:dyDescent="0.25">
      <c r="A6" s="29" t="s">
        <v>824</v>
      </c>
      <c r="B6" s="30">
        <v>129330051</v>
      </c>
      <c r="C6" s="30">
        <v>78801259</v>
      </c>
      <c r="D6" s="30">
        <v>155016098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600E75-365D-4075-B5B8-E83D42821999}">
  <sheetPr codeName="Sheet18"/>
  <dimension ref="A1:AM136"/>
  <sheetViews>
    <sheetView topLeftCell="B1" zoomScale="76" zoomScaleNormal="43" workbookViewId="0">
      <selection activeCell="AL54" sqref="AL54"/>
    </sheetView>
  </sheetViews>
  <sheetFormatPr defaultRowHeight="15" x14ac:dyDescent="0.25"/>
  <cols>
    <col min="2" max="2" width="19.85546875" bestFit="1" customWidth="1"/>
    <col min="3" max="3" width="11.7109375" bestFit="1" customWidth="1"/>
    <col min="4" max="4" width="15" bestFit="1" customWidth="1"/>
    <col min="5" max="5" width="8.7109375" customWidth="1"/>
    <col min="6" max="6" width="11.7109375" bestFit="1" customWidth="1"/>
    <col min="8" max="8" width="11.7109375" bestFit="1" customWidth="1"/>
    <col min="9" max="9" width="13.28515625" bestFit="1" customWidth="1"/>
    <col min="23" max="23" width="9.85546875" customWidth="1"/>
    <col min="24" max="24" width="9.28515625" customWidth="1"/>
    <col min="25" max="25" width="10.140625" customWidth="1"/>
    <col min="32" max="32" width="10.140625" customWidth="1"/>
    <col min="33" max="33" width="11.5703125" customWidth="1"/>
    <col min="34" max="34" width="22.85546875" customWidth="1"/>
    <col min="35" max="35" width="29.140625" customWidth="1"/>
    <col min="36" max="36" width="9.5703125" customWidth="1"/>
    <col min="37" max="37" width="14" bestFit="1" customWidth="1"/>
    <col min="38" max="38" width="19.42578125" bestFit="1" customWidth="1"/>
    <col min="39" max="39" width="15" customWidth="1"/>
  </cols>
  <sheetData>
    <row r="1" spans="1:39" x14ac:dyDescent="0.25">
      <c r="A1" s="118" t="s">
        <v>0</v>
      </c>
      <c r="B1" s="118" t="s">
        <v>1</v>
      </c>
      <c r="C1" s="118" t="s">
        <v>2</v>
      </c>
      <c r="D1" s="118" t="s">
        <v>3</v>
      </c>
      <c r="E1" s="118" t="s">
        <v>4</v>
      </c>
      <c r="F1" s="118" t="s">
        <v>5</v>
      </c>
      <c r="G1" s="118" t="s">
        <v>6</v>
      </c>
      <c r="H1" s="118" t="s">
        <v>7</v>
      </c>
      <c r="I1" s="118" t="s">
        <v>8</v>
      </c>
      <c r="J1" s="118" t="s">
        <v>9</v>
      </c>
      <c r="K1" s="118" t="s">
        <v>10</v>
      </c>
      <c r="L1" s="118" t="s">
        <v>11</v>
      </c>
      <c r="M1" s="118" t="s">
        <v>12</v>
      </c>
      <c r="N1" s="118" t="s">
        <v>13</v>
      </c>
      <c r="O1" s="118" t="s">
        <v>14</v>
      </c>
      <c r="P1" s="118" t="s">
        <v>15</v>
      </c>
      <c r="Q1" s="118" t="s">
        <v>16</v>
      </c>
      <c r="R1" s="118" t="s">
        <v>17</v>
      </c>
      <c r="S1" s="118" t="s">
        <v>18</v>
      </c>
      <c r="T1" s="118" t="s">
        <v>19</v>
      </c>
      <c r="U1" s="118" t="s">
        <v>20</v>
      </c>
      <c r="V1" s="118" t="s">
        <v>21</v>
      </c>
      <c r="W1" s="118" t="s">
        <v>22</v>
      </c>
      <c r="X1" s="118" t="s">
        <v>23</v>
      </c>
      <c r="Y1" s="118" t="s">
        <v>24</v>
      </c>
      <c r="Z1" s="118" t="s">
        <v>25</v>
      </c>
      <c r="AA1" s="118" t="s">
        <v>26</v>
      </c>
      <c r="AB1" s="118" t="s">
        <v>27</v>
      </c>
      <c r="AC1" s="118" t="s">
        <v>28</v>
      </c>
      <c r="AD1" s="118" t="s">
        <v>29</v>
      </c>
      <c r="AE1" s="118" t="s">
        <v>30</v>
      </c>
      <c r="AF1" s="118" t="s">
        <v>31</v>
      </c>
      <c r="AG1" s="118" t="s">
        <v>32</v>
      </c>
      <c r="AH1" s="118" t="s">
        <v>33</v>
      </c>
      <c r="AI1" s="118" t="s">
        <v>836</v>
      </c>
      <c r="AJ1" s="118" t="s">
        <v>817</v>
      </c>
      <c r="AK1" s="119" t="s">
        <v>840</v>
      </c>
      <c r="AL1" s="118" t="s">
        <v>841</v>
      </c>
      <c r="AM1" s="118" t="s">
        <v>842</v>
      </c>
    </row>
    <row r="2" spans="1:39" x14ac:dyDescent="0.25">
      <c r="A2" s="104">
        <v>7</v>
      </c>
      <c r="B2" s="104" t="s">
        <v>57</v>
      </c>
      <c r="C2" s="104">
        <v>26</v>
      </c>
      <c r="D2" s="104" t="s">
        <v>58</v>
      </c>
      <c r="E2" s="104">
        <v>1.4</v>
      </c>
      <c r="F2" s="104">
        <v>100</v>
      </c>
      <c r="G2" s="104">
        <v>425</v>
      </c>
      <c r="H2" s="104">
        <v>393</v>
      </c>
      <c r="I2" s="104">
        <v>47</v>
      </c>
      <c r="J2" s="104">
        <v>88</v>
      </c>
      <c r="K2" s="104">
        <v>19</v>
      </c>
      <c r="L2" s="104">
        <v>0</v>
      </c>
      <c r="M2" s="104">
        <v>14</v>
      </c>
      <c r="N2" s="104">
        <v>35</v>
      </c>
      <c r="O2" s="104">
        <v>23</v>
      </c>
      <c r="P2" s="104">
        <v>6</v>
      </c>
      <c r="Q2" s="104">
        <v>28</v>
      </c>
      <c r="R2" s="104">
        <v>141</v>
      </c>
      <c r="S2" s="104">
        <v>0.224</v>
      </c>
      <c r="T2" s="120">
        <v>0.27800000000000002</v>
      </c>
      <c r="U2" s="104">
        <v>0.379</v>
      </c>
      <c r="V2" s="104">
        <v>0.65700000000000003</v>
      </c>
      <c r="W2" s="104">
        <v>87</v>
      </c>
      <c r="X2" s="104">
        <v>0.29799999999999999</v>
      </c>
      <c r="Y2" s="104">
        <v>88</v>
      </c>
      <c r="Z2" s="104">
        <v>149</v>
      </c>
      <c r="AA2" s="104">
        <v>8</v>
      </c>
      <c r="AB2" s="104">
        <v>2</v>
      </c>
      <c r="AC2" s="104">
        <v>0</v>
      </c>
      <c r="AD2" s="104">
        <v>1</v>
      </c>
      <c r="AE2" s="104">
        <v>2</v>
      </c>
      <c r="AF2" s="104" t="s">
        <v>59</v>
      </c>
      <c r="AG2" s="104" t="s">
        <v>37</v>
      </c>
      <c r="AH2" s="104" t="s">
        <v>60</v>
      </c>
      <c r="AI2" s="104" t="s">
        <v>837</v>
      </c>
      <c r="AJ2" s="104" t="s">
        <v>820</v>
      </c>
      <c r="AK2" s="105">
        <f>IFERROR(VLOOKUP(B2,'CWS Salary 2024'!A1:I39,8,FALSE),"No salary data")</f>
        <v>12500000</v>
      </c>
      <c r="AL2" s="13">
        <f>AK2/E2</f>
        <v>8928571.4285714291</v>
      </c>
      <c r="AM2" s="13">
        <f>AK2/W2</f>
        <v>143678.16091954024</v>
      </c>
    </row>
    <row r="3" spans="1:39" hidden="1" x14ac:dyDescent="0.25">
      <c r="A3">
        <v>23</v>
      </c>
      <c r="B3" t="s">
        <v>111</v>
      </c>
      <c r="C3">
        <v>29</v>
      </c>
      <c r="D3" t="s">
        <v>11</v>
      </c>
      <c r="E3">
        <v>0.3</v>
      </c>
      <c r="F3">
        <v>12</v>
      </c>
      <c r="G3">
        <v>45</v>
      </c>
      <c r="H3">
        <v>40</v>
      </c>
      <c r="I3">
        <v>4</v>
      </c>
      <c r="J3">
        <v>11</v>
      </c>
      <c r="K3">
        <v>3</v>
      </c>
      <c r="L3">
        <v>1</v>
      </c>
      <c r="M3">
        <v>0</v>
      </c>
      <c r="N3">
        <v>0</v>
      </c>
      <c r="O3">
        <v>1</v>
      </c>
      <c r="P3">
        <v>0</v>
      </c>
      <c r="Q3">
        <v>5</v>
      </c>
      <c r="R3">
        <v>11</v>
      </c>
      <c r="S3">
        <v>0.27500000000000002</v>
      </c>
      <c r="T3">
        <v>0.35599999999999998</v>
      </c>
      <c r="U3">
        <v>0.4</v>
      </c>
      <c r="V3">
        <v>0.75600000000000001</v>
      </c>
      <c r="W3">
        <v>117</v>
      </c>
      <c r="X3">
        <v>0.33700000000000002</v>
      </c>
      <c r="Y3">
        <v>116</v>
      </c>
      <c r="Z3">
        <v>16</v>
      </c>
      <c r="AA3">
        <v>2</v>
      </c>
      <c r="AB3">
        <v>0</v>
      </c>
      <c r="AC3">
        <v>0</v>
      </c>
      <c r="AD3">
        <v>0</v>
      </c>
      <c r="AE3">
        <v>0</v>
      </c>
      <c r="AF3" t="s">
        <v>93</v>
      </c>
      <c r="AG3" t="s">
        <v>37</v>
      </c>
      <c r="AH3" t="s">
        <v>112</v>
      </c>
      <c r="AI3" t="s">
        <v>837</v>
      </c>
      <c r="AJ3" t="s">
        <v>820</v>
      </c>
      <c r="AK3" s="105" t="str">
        <f>IFERROR(VLOOKUP(B3,'CWS Salary 2024'!A2:I40,8,FALSE),"No salary data")</f>
        <v>No salary data</v>
      </c>
      <c r="AL3" s="125" t="e">
        <f t="shared" ref="AL3:AL66" si="0">AK3/E3</f>
        <v>#VALUE!</v>
      </c>
      <c r="AM3" s="13" t="e">
        <f t="shared" ref="AM3:AM66" si="1">AK3/W3</f>
        <v>#VALUE!</v>
      </c>
    </row>
    <row r="4" spans="1:39" x14ac:dyDescent="0.25">
      <c r="A4" s="19">
        <v>2</v>
      </c>
      <c r="B4" s="19" t="s">
        <v>39</v>
      </c>
      <c r="C4" s="19">
        <v>26</v>
      </c>
      <c r="D4" s="19" t="s">
        <v>40</v>
      </c>
      <c r="E4" s="19">
        <v>0.2</v>
      </c>
      <c r="F4" s="19">
        <v>149</v>
      </c>
      <c r="G4" s="19">
        <v>619</v>
      </c>
      <c r="H4" s="19">
        <v>570</v>
      </c>
      <c r="I4" s="19">
        <v>55</v>
      </c>
      <c r="J4" s="19">
        <v>140</v>
      </c>
      <c r="K4" s="19">
        <v>30</v>
      </c>
      <c r="L4" s="19">
        <v>1</v>
      </c>
      <c r="M4" s="19">
        <v>19</v>
      </c>
      <c r="N4" s="19">
        <v>70</v>
      </c>
      <c r="O4" s="19">
        <v>2</v>
      </c>
      <c r="P4" s="19">
        <v>0</v>
      </c>
      <c r="Q4" s="19">
        <v>38</v>
      </c>
      <c r="R4" s="19">
        <v>132</v>
      </c>
      <c r="S4" s="19">
        <v>0.246</v>
      </c>
      <c r="T4">
        <v>0.29699999999999999</v>
      </c>
      <c r="U4" s="19">
        <v>0.40200000000000002</v>
      </c>
      <c r="V4" s="19">
        <v>0.69899999999999995</v>
      </c>
      <c r="W4" s="19">
        <v>99</v>
      </c>
      <c r="X4" s="19">
        <v>0.30499999999999999</v>
      </c>
      <c r="Y4" s="19">
        <v>96</v>
      </c>
      <c r="Z4" s="19">
        <v>229</v>
      </c>
      <c r="AA4" s="19">
        <v>13</v>
      </c>
      <c r="AB4" s="19">
        <v>6</v>
      </c>
      <c r="AC4" s="19">
        <v>0</v>
      </c>
      <c r="AD4" s="19">
        <v>5</v>
      </c>
      <c r="AE4" s="19">
        <v>0</v>
      </c>
      <c r="AF4" s="19" t="s">
        <v>41</v>
      </c>
      <c r="AG4" s="19" t="s">
        <v>37</v>
      </c>
      <c r="AH4" s="19" t="s">
        <v>42</v>
      </c>
      <c r="AI4" s="19" t="s">
        <v>837</v>
      </c>
      <c r="AJ4" s="19" t="s">
        <v>820</v>
      </c>
      <c r="AK4" s="105">
        <f>IFERROR(VLOOKUP(B4,'CWS Salary 2024'!A3:I41,8,FALSE),"No salary data")</f>
        <v>5850000</v>
      </c>
      <c r="AL4" s="13">
        <f t="shared" si="0"/>
        <v>29250000</v>
      </c>
      <c r="AM4" s="13">
        <f t="shared" si="1"/>
        <v>59090.909090909088</v>
      </c>
    </row>
    <row r="5" spans="1:39" x14ac:dyDescent="0.25">
      <c r="A5">
        <v>3</v>
      </c>
      <c r="B5" t="s">
        <v>43</v>
      </c>
      <c r="C5">
        <v>29</v>
      </c>
      <c r="D5" t="s">
        <v>10</v>
      </c>
      <c r="E5">
        <v>0.2</v>
      </c>
      <c r="F5">
        <v>124</v>
      </c>
      <c r="G5">
        <v>445</v>
      </c>
      <c r="H5">
        <v>398</v>
      </c>
      <c r="I5">
        <v>40</v>
      </c>
      <c r="J5">
        <v>96</v>
      </c>
      <c r="K5">
        <v>12</v>
      </c>
      <c r="L5">
        <v>3</v>
      </c>
      <c r="M5">
        <v>1</v>
      </c>
      <c r="N5">
        <v>21</v>
      </c>
      <c r="O5">
        <v>5</v>
      </c>
      <c r="P5">
        <v>7</v>
      </c>
      <c r="Q5">
        <v>37</v>
      </c>
      <c r="R5">
        <v>67</v>
      </c>
      <c r="S5">
        <v>0.24099999999999999</v>
      </c>
      <c r="T5">
        <v>0.312</v>
      </c>
      <c r="U5">
        <v>0.29399999999999998</v>
      </c>
      <c r="V5">
        <v>0.60599999999999998</v>
      </c>
      <c r="W5">
        <v>76</v>
      </c>
      <c r="X5">
        <v>0.28199999999999997</v>
      </c>
      <c r="Y5">
        <v>83</v>
      </c>
      <c r="Z5">
        <v>117</v>
      </c>
      <c r="AA5">
        <v>3</v>
      </c>
      <c r="AB5">
        <v>4</v>
      </c>
      <c r="AC5">
        <v>6</v>
      </c>
      <c r="AD5">
        <v>0</v>
      </c>
      <c r="AE5">
        <v>0</v>
      </c>
      <c r="AF5" t="s">
        <v>44</v>
      </c>
      <c r="AG5" t="s">
        <v>37</v>
      </c>
      <c r="AH5" t="s">
        <v>45</v>
      </c>
      <c r="AI5" t="s">
        <v>837</v>
      </c>
      <c r="AJ5" t="s">
        <v>820</v>
      </c>
      <c r="AK5" s="105">
        <f>IFERROR(VLOOKUP(B5,'CWS Salary 2024'!A4:I42,8,FALSE),"No salary data")</f>
        <v>4300000</v>
      </c>
      <c r="AL5" s="13">
        <f t="shared" si="0"/>
        <v>21500000</v>
      </c>
      <c r="AM5" s="13">
        <f t="shared" si="1"/>
        <v>56578.947368421053</v>
      </c>
    </row>
    <row r="6" spans="1:39" hidden="1" x14ac:dyDescent="0.25">
      <c r="A6" s="19">
        <v>4</v>
      </c>
      <c r="B6" s="19" t="s">
        <v>46</v>
      </c>
      <c r="C6" s="19">
        <v>30</v>
      </c>
      <c r="D6" s="19" t="s">
        <v>47</v>
      </c>
      <c r="E6" s="19">
        <v>0.2</v>
      </c>
      <c r="F6" s="19">
        <v>102</v>
      </c>
      <c r="G6" s="19">
        <v>363</v>
      </c>
      <c r="H6" s="19">
        <v>337</v>
      </c>
      <c r="I6" s="19">
        <v>39</v>
      </c>
      <c r="J6" s="19">
        <v>77</v>
      </c>
      <c r="K6" s="19">
        <v>14</v>
      </c>
      <c r="L6" s="19">
        <v>0</v>
      </c>
      <c r="M6" s="19">
        <v>18</v>
      </c>
      <c r="N6" s="19">
        <v>41</v>
      </c>
      <c r="O6" s="19">
        <v>2</v>
      </c>
      <c r="P6" s="19">
        <v>1</v>
      </c>
      <c r="Q6" s="19">
        <v>14</v>
      </c>
      <c r="R6" s="19">
        <v>112</v>
      </c>
      <c r="S6" s="19">
        <v>0.22800000000000001</v>
      </c>
      <c r="T6" s="19">
        <v>0.27500000000000002</v>
      </c>
      <c r="U6" s="19">
        <v>0.43</v>
      </c>
      <c r="V6" s="19">
        <v>0.70599999999999996</v>
      </c>
      <c r="W6" s="19">
        <v>99</v>
      </c>
      <c r="X6" s="19">
        <v>0.30299999999999999</v>
      </c>
      <c r="Y6" s="19">
        <v>95</v>
      </c>
      <c r="Z6" s="19">
        <v>145</v>
      </c>
      <c r="AA6" s="19">
        <v>8</v>
      </c>
      <c r="AB6" s="19">
        <v>9</v>
      </c>
      <c r="AC6" s="19">
        <v>0</v>
      </c>
      <c r="AD6" s="19">
        <v>3</v>
      </c>
      <c r="AE6" s="19">
        <v>0</v>
      </c>
      <c r="AF6" s="19" t="s">
        <v>48</v>
      </c>
      <c r="AG6" s="19" t="s">
        <v>37</v>
      </c>
      <c r="AH6" s="19" t="s">
        <v>49</v>
      </c>
      <c r="AI6" s="19" t="s">
        <v>837</v>
      </c>
      <c r="AJ6" s="19" t="s">
        <v>820</v>
      </c>
      <c r="AK6" s="105" t="str">
        <f>IFERROR(VLOOKUP(B6,'CWS Salary 2024'!A5:I43,8,FALSE),"No salary data")</f>
        <v>No salary data</v>
      </c>
      <c r="AL6" s="125" t="e">
        <f t="shared" si="0"/>
        <v>#VALUE!</v>
      </c>
      <c r="AM6" s="13" t="e">
        <f t="shared" si="1"/>
        <v>#VALUE!</v>
      </c>
    </row>
    <row r="7" spans="1:39" hidden="1" x14ac:dyDescent="0.25">
      <c r="A7">
        <v>24</v>
      </c>
      <c r="B7" t="s">
        <v>113</v>
      </c>
      <c r="C7">
        <v>30</v>
      </c>
      <c r="D7" t="s">
        <v>70</v>
      </c>
      <c r="E7">
        <v>0.2</v>
      </c>
      <c r="F7">
        <v>15</v>
      </c>
      <c r="G7">
        <v>39</v>
      </c>
      <c r="H7">
        <v>33</v>
      </c>
      <c r="I7">
        <v>3</v>
      </c>
      <c r="J7">
        <v>8</v>
      </c>
      <c r="K7">
        <v>1</v>
      </c>
      <c r="L7">
        <v>1</v>
      </c>
      <c r="M7">
        <v>0</v>
      </c>
      <c r="N7">
        <v>1</v>
      </c>
      <c r="O7">
        <v>1</v>
      </c>
      <c r="P7">
        <v>0</v>
      </c>
      <c r="Q7">
        <v>5</v>
      </c>
      <c r="R7">
        <v>10</v>
      </c>
      <c r="S7">
        <v>0.24199999999999999</v>
      </c>
      <c r="T7">
        <v>0.34200000000000003</v>
      </c>
      <c r="U7">
        <v>0.33300000000000002</v>
      </c>
      <c r="V7">
        <v>0.67500000000000004</v>
      </c>
      <c r="W7">
        <v>96</v>
      </c>
      <c r="X7">
        <v>0.33100000000000002</v>
      </c>
      <c r="Y7">
        <v>111</v>
      </c>
      <c r="Z7">
        <v>11</v>
      </c>
      <c r="AA7">
        <v>1</v>
      </c>
      <c r="AB7">
        <v>0</v>
      </c>
      <c r="AC7">
        <v>1</v>
      </c>
      <c r="AD7">
        <v>0</v>
      </c>
      <c r="AE7">
        <v>0</v>
      </c>
      <c r="AF7" t="s">
        <v>114</v>
      </c>
      <c r="AG7" t="s">
        <v>37</v>
      </c>
      <c r="AH7" t="s">
        <v>115</v>
      </c>
      <c r="AI7" t="s">
        <v>837</v>
      </c>
      <c r="AJ7" t="s">
        <v>820</v>
      </c>
      <c r="AK7" s="105" t="str">
        <f>IFERROR(VLOOKUP(B7,'CWS Salary 2024'!A6:I44,8,FALSE),"No salary data")</f>
        <v>No salary data</v>
      </c>
      <c r="AL7" s="125" t="e">
        <f t="shared" si="0"/>
        <v>#VALUE!</v>
      </c>
      <c r="AM7" s="13" t="e">
        <f t="shared" si="1"/>
        <v>#VALUE!</v>
      </c>
    </row>
    <row r="8" spans="1:39" x14ac:dyDescent="0.25">
      <c r="A8" s="19">
        <v>1</v>
      </c>
      <c r="B8" s="19" t="s">
        <v>34</v>
      </c>
      <c r="C8" s="19">
        <v>25</v>
      </c>
      <c r="D8" s="19" t="s">
        <v>35</v>
      </c>
      <c r="E8" s="19">
        <v>0.1</v>
      </c>
      <c r="F8" s="19">
        <v>125</v>
      </c>
      <c r="G8" s="19">
        <v>394</v>
      </c>
      <c r="H8" s="19">
        <v>377</v>
      </c>
      <c r="I8" s="19">
        <v>36</v>
      </c>
      <c r="J8" s="19">
        <v>79</v>
      </c>
      <c r="K8" s="19">
        <v>14</v>
      </c>
      <c r="L8" s="19">
        <v>1</v>
      </c>
      <c r="M8" s="19">
        <v>12</v>
      </c>
      <c r="N8" s="19">
        <v>37</v>
      </c>
      <c r="O8" s="19">
        <v>6</v>
      </c>
      <c r="P8" s="19">
        <v>3</v>
      </c>
      <c r="Q8" s="19">
        <v>17</v>
      </c>
      <c r="R8" s="19">
        <v>122</v>
      </c>
      <c r="S8" s="19">
        <v>0.21</v>
      </c>
      <c r="T8">
        <v>0.24399999999999999</v>
      </c>
      <c r="U8" s="19">
        <v>0.34699999999999998</v>
      </c>
      <c r="V8" s="19">
        <v>0.59099999999999997</v>
      </c>
      <c r="W8" s="19">
        <v>68</v>
      </c>
      <c r="X8" s="19">
        <v>0.26400000000000001</v>
      </c>
      <c r="Y8" s="19">
        <v>68</v>
      </c>
      <c r="Z8" s="19">
        <v>131</v>
      </c>
      <c r="AA8" s="19">
        <v>12</v>
      </c>
      <c r="AB8" s="19">
        <v>0</v>
      </c>
      <c r="AC8" s="19">
        <v>0</v>
      </c>
      <c r="AD8" s="19">
        <v>0</v>
      </c>
      <c r="AE8" s="19">
        <v>0</v>
      </c>
      <c r="AF8" s="19" t="s">
        <v>36</v>
      </c>
      <c r="AG8" s="19" t="s">
        <v>37</v>
      </c>
      <c r="AH8" s="19" t="s">
        <v>38</v>
      </c>
      <c r="AI8" s="19" t="s">
        <v>837</v>
      </c>
      <c r="AJ8" s="19" t="s">
        <v>820</v>
      </c>
      <c r="AK8" s="105">
        <f>IFERROR(VLOOKUP(B8,'CWS Salary 2024'!A7:I45,8,FALSE),"No salary data")</f>
        <v>745000</v>
      </c>
      <c r="AL8" s="13">
        <f t="shared" si="0"/>
        <v>7450000</v>
      </c>
      <c r="AM8" s="13">
        <f t="shared" si="1"/>
        <v>10955.882352941177</v>
      </c>
    </row>
    <row r="9" spans="1:39" hidden="1" x14ac:dyDescent="0.25">
      <c r="A9">
        <v>25</v>
      </c>
      <c r="B9" t="s">
        <v>116</v>
      </c>
      <c r="C9">
        <v>25</v>
      </c>
      <c r="D9" t="s">
        <v>74</v>
      </c>
      <c r="E9">
        <v>0.1</v>
      </c>
      <c r="F9">
        <v>13</v>
      </c>
      <c r="G9">
        <v>38</v>
      </c>
      <c r="H9">
        <v>33</v>
      </c>
      <c r="I9">
        <v>1</v>
      </c>
      <c r="J9">
        <v>9</v>
      </c>
      <c r="K9">
        <v>0</v>
      </c>
      <c r="L9">
        <v>0</v>
      </c>
      <c r="M9">
        <v>0</v>
      </c>
      <c r="N9">
        <v>4</v>
      </c>
      <c r="O9">
        <v>0</v>
      </c>
      <c r="P9">
        <v>1</v>
      </c>
      <c r="Q9">
        <v>4</v>
      </c>
      <c r="R9">
        <v>10</v>
      </c>
      <c r="S9">
        <v>0.27300000000000002</v>
      </c>
      <c r="T9">
        <v>0.36799999999999999</v>
      </c>
      <c r="U9">
        <v>0.27300000000000002</v>
      </c>
      <c r="V9">
        <v>0.64100000000000001</v>
      </c>
      <c r="W9">
        <v>89</v>
      </c>
      <c r="X9">
        <v>0.28499999999999998</v>
      </c>
      <c r="Y9">
        <v>91</v>
      </c>
      <c r="Z9">
        <v>9</v>
      </c>
      <c r="AA9">
        <v>0</v>
      </c>
      <c r="AB9">
        <v>1</v>
      </c>
      <c r="AC9">
        <v>0</v>
      </c>
      <c r="AD9">
        <v>0</v>
      </c>
      <c r="AE9">
        <v>0</v>
      </c>
      <c r="AF9" t="s">
        <v>117</v>
      </c>
      <c r="AG9" t="s">
        <v>37</v>
      </c>
      <c r="AH9" t="s">
        <v>118</v>
      </c>
      <c r="AI9" t="s">
        <v>837</v>
      </c>
      <c r="AJ9" t="s">
        <v>820</v>
      </c>
      <c r="AK9" s="105" t="str">
        <f>IFERROR(VLOOKUP(B9,'CWS Salary 2024'!A8:I46,8,FALSE),"No salary data")</f>
        <v>No salary data</v>
      </c>
      <c r="AL9" s="125" t="e">
        <f t="shared" si="0"/>
        <v>#VALUE!</v>
      </c>
      <c r="AM9" s="13" t="e">
        <f t="shared" si="1"/>
        <v>#VALUE!</v>
      </c>
    </row>
    <row r="10" spans="1:39" hidden="1" x14ac:dyDescent="0.25">
      <c r="A10" s="19">
        <v>11</v>
      </c>
      <c r="B10" s="19" t="s">
        <v>73</v>
      </c>
      <c r="C10" s="19">
        <v>36</v>
      </c>
      <c r="D10" s="19" t="s">
        <v>74</v>
      </c>
      <c r="E10" s="19">
        <v>0</v>
      </c>
      <c r="F10" s="19">
        <v>70</v>
      </c>
      <c r="G10" s="19">
        <v>297</v>
      </c>
      <c r="H10" s="19">
        <v>271</v>
      </c>
      <c r="I10" s="19">
        <v>33</v>
      </c>
      <c r="J10" s="19">
        <v>72</v>
      </c>
      <c r="K10" s="19">
        <v>14</v>
      </c>
      <c r="L10" s="19">
        <v>1</v>
      </c>
      <c r="M10" s="19">
        <v>5</v>
      </c>
      <c r="N10" s="19">
        <v>19</v>
      </c>
      <c r="O10" s="19">
        <v>6</v>
      </c>
      <c r="P10" s="19">
        <v>3</v>
      </c>
      <c r="Q10" s="19">
        <v>25</v>
      </c>
      <c r="R10" s="19">
        <v>63</v>
      </c>
      <c r="S10" s="19">
        <v>0.26600000000000001</v>
      </c>
      <c r="T10" s="19">
        <v>0.33</v>
      </c>
      <c r="U10" s="19">
        <v>0.38</v>
      </c>
      <c r="V10" s="19">
        <v>0.71</v>
      </c>
      <c r="W10" s="19">
        <v>104</v>
      </c>
      <c r="X10" s="19">
        <v>0.32700000000000001</v>
      </c>
      <c r="Y10" s="19">
        <v>112</v>
      </c>
      <c r="Z10" s="19">
        <v>103</v>
      </c>
      <c r="AA10" s="19">
        <v>2</v>
      </c>
      <c r="AB10" s="19">
        <v>1</v>
      </c>
      <c r="AC10" s="19">
        <v>0</v>
      </c>
      <c r="AD10" s="19">
        <v>0</v>
      </c>
      <c r="AE10" s="19">
        <v>0</v>
      </c>
      <c r="AF10" s="19" t="s">
        <v>75</v>
      </c>
      <c r="AG10" s="19" t="s">
        <v>37</v>
      </c>
      <c r="AH10" s="19" t="s">
        <v>76</v>
      </c>
      <c r="AI10" s="19" t="s">
        <v>837</v>
      </c>
      <c r="AJ10" s="19" t="s">
        <v>820</v>
      </c>
      <c r="AK10" s="105" t="str">
        <f>IFERROR(VLOOKUP(B10,'CWS Salary 2024'!A9:I47,8,FALSE),"No salary data")</f>
        <v>No salary data</v>
      </c>
      <c r="AL10" s="125" t="e">
        <f t="shared" si="0"/>
        <v>#VALUE!</v>
      </c>
      <c r="AM10" s="13" t="e">
        <f t="shared" si="1"/>
        <v>#VALUE!</v>
      </c>
    </row>
    <row r="11" spans="1:39" hidden="1" x14ac:dyDescent="0.25">
      <c r="A11">
        <v>16</v>
      </c>
      <c r="B11" t="s">
        <v>89</v>
      </c>
      <c r="C11">
        <v>23</v>
      </c>
      <c r="D11" t="s">
        <v>10</v>
      </c>
      <c r="E11">
        <v>0</v>
      </c>
      <c r="F11">
        <v>33</v>
      </c>
      <c r="G11">
        <v>121</v>
      </c>
      <c r="H11">
        <v>114</v>
      </c>
      <c r="I11">
        <v>9</v>
      </c>
      <c r="J11">
        <v>24</v>
      </c>
      <c r="K11">
        <v>6</v>
      </c>
      <c r="L11">
        <v>0</v>
      </c>
      <c r="M11">
        <v>2</v>
      </c>
      <c r="N11">
        <v>8</v>
      </c>
      <c r="O11">
        <v>4</v>
      </c>
      <c r="P11">
        <v>0</v>
      </c>
      <c r="Q11">
        <v>6</v>
      </c>
      <c r="R11">
        <v>31</v>
      </c>
      <c r="S11">
        <v>0.21099999999999999</v>
      </c>
      <c r="T11">
        <v>0.25</v>
      </c>
      <c r="U11">
        <v>0.316</v>
      </c>
      <c r="V11">
        <v>0.56599999999999995</v>
      </c>
      <c r="W11">
        <v>62</v>
      </c>
      <c r="X11">
        <v>0.26300000000000001</v>
      </c>
      <c r="Y11">
        <v>60</v>
      </c>
      <c r="Z11">
        <v>36</v>
      </c>
      <c r="AA11">
        <v>1</v>
      </c>
      <c r="AB11">
        <v>0</v>
      </c>
      <c r="AC11">
        <v>1</v>
      </c>
      <c r="AD11">
        <v>0</v>
      </c>
      <c r="AE11">
        <v>0</v>
      </c>
      <c r="AF11" t="s">
        <v>90</v>
      </c>
      <c r="AG11" t="s">
        <v>37</v>
      </c>
      <c r="AH11" t="s">
        <v>91</v>
      </c>
      <c r="AI11" t="s">
        <v>837</v>
      </c>
      <c r="AJ11" t="s">
        <v>820</v>
      </c>
      <c r="AK11" s="105" t="str">
        <f>IFERROR(VLOOKUP(B11,'CWS Salary 2024'!A10:I48,8,FALSE),"No salary data")</f>
        <v>No salary data</v>
      </c>
      <c r="AL11" s="125" t="e">
        <f t="shared" si="0"/>
        <v>#VALUE!</v>
      </c>
      <c r="AM11" s="13" t="e">
        <f t="shared" si="1"/>
        <v>#VALUE!</v>
      </c>
    </row>
    <row r="12" spans="1:39" x14ac:dyDescent="0.25">
      <c r="A12" s="19">
        <v>21</v>
      </c>
      <c r="B12" s="19" t="s">
        <v>104</v>
      </c>
      <c r="C12" s="19">
        <v>25</v>
      </c>
      <c r="D12" s="19" t="s">
        <v>47</v>
      </c>
      <c r="E12" s="19">
        <v>0</v>
      </c>
      <c r="F12" s="19">
        <v>23</v>
      </c>
      <c r="G12" s="19">
        <v>71</v>
      </c>
      <c r="H12" s="19">
        <v>67</v>
      </c>
      <c r="I12" s="19">
        <v>4</v>
      </c>
      <c r="J12" s="19">
        <v>12</v>
      </c>
      <c r="K12" s="19">
        <v>1</v>
      </c>
      <c r="L12" s="19">
        <v>0</v>
      </c>
      <c r="M12" s="19">
        <v>0</v>
      </c>
      <c r="N12" s="19">
        <v>3</v>
      </c>
      <c r="O12" s="19">
        <v>1</v>
      </c>
      <c r="P12" s="19">
        <v>0</v>
      </c>
      <c r="Q12" s="19">
        <v>4</v>
      </c>
      <c r="R12" s="19">
        <v>28</v>
      </c>
      <c r="S12" s="19">
        <v>0.17899999999999999</v>
      </c>
      <c r="T12">
        <v>0.22500000000000001</v>
      </c>
      <c r="U12" s="19">
        <v>0.19400000000000001</v>
      </c>
      <c r="V12" s="19">
        <v>0.41899999999999998</v>
      </c>
      <c r="W12" s="19">
        <v>23</v>
      </c>
      <c r="X12" s="19">
        <v>0.19400000000000001</v>
      </c>
      <c r="Y12" s="19">
        <v>15</v>
      </c>
      <c r="Z12" s="19">
        <v>13</v>
      </c>
      <c r="AA12" s="19">
        <v>3</v>
      </c>
      <c r="AB12" s="19">
        <v>0</v>
      </c>
      <c r="AC12" s="19">
        <v>0</v>
      </c>
      <c r="AD12" s="19">
        <v>0</v>
      </c>
      <c r="AE12" s="19">
        <v>0</v>
      </c>
      <c r="AF12" s="19" t="s">
        <v>105</v>
      </c>
      <c r="AG12" s="19" t="s">
        <v>37</v>
      </c>
      <c r="AH12" s="19" t="s">
        <v>106</v>
      </c>
      <c r="AI12" s="19" t="s">
        <v>837</v>
      </c>
      <c r="AJ12" s="19" t="s">
        <v>820</v>
      </c>
      <c r="AK12" s="105">
        <f>IFERROR(VLOOKUP(B12,'CWS Salary 2024'!A11:I49,8,FALSE),"No salary data")</f>
        <v>171054</v>
      </c>
      <c r="AL12" s="13" t="e">
        <f t="shared" si="0"/>
        <v>#DIV/0!</v>
      </c>
      <c r="AM12" s="13">
        <f t="shared" si="1"/>
        <v>7437.130434782609</v>
      </c>
    </row>
    <row r="13" spans="1:39" hidden="1" x14ac:dyDescent="0.25">
      <c r="A13">
        <v>26</v>
      </c>
      <c r="B13" t="s">
        <v>119</v>
      </c>
      <c r="C13">
        <v>35</v>
      </c>
      <c r="D13" t="s">
        <v>74</v>
      </c>
      <c r="E13">
        <v>0</v>
      </c>
      <c r="F13">
        <v>17</v>
      </c>
      <c r="G13">
        <v>32</v>
      </c>
      <c r="H13">
        <v>25</v>
      </c>
      <c r="I13">
        <v>1</v>
      </c>
      <c r="J13">
        <v>4</v>
      </c>
      <c r="K13">
        <v>2</v>
      </c>
      <c r="L13">
        <v>0</v>
      </c>
      <c r="M13">
        <v>1</v>
      </c>
      <c r="N13">
        <v>4</v>
      </c>
      <c r="O13">
        <v>2</v>
      </c>
      <c r="P13">
        <v>0</v>
      </c>
      <c r="Q13">
        <v>4</v>
      </c>
      <c r="R13">
        <v>8</v>
      </c>
      <c r="S13">
        <v>0.16</v>
      </c>
      <c r="T13">
        <v>0.28999999999999998</v>
      </c>
      <c r="U13">
        <v>0.36</v>
      </c>
      <c r="V13">
        <v>0.65</v>
      </c>
      <c r="W13">
        <v>86</v>
      </c>
      <c r="X13">
        <v>0.30299999999999999</v>
      </c>
      <c r="Y13">
        <v>83</v>
      </c>
      <c r="Z13">
        <v>9</v>
      </c>
      <c r="AA13">
        <v>0</v>
      </c>
      <c r="AB13">
        <v>1</v>
      </c>
      <c r="AC13">
        <v>1</v>
      </c>
      <c r="AD13">
        <v>1</v>
      </c>
      <c r="AE13">
        <v>0</v>
      </c>
      <c r="AF13" t="s">
        <v>120</v>
      </c>
      <c r="AG13" t="s">
        <v>37</v>
      </c>
      <c r="AH13" t="s">
        <v>121</v>
      </c>
      <c r="AI13" t="s">
        <v>837</v>
      </c>
      <c r="AJ13" t="s">
        <v>820</v>
      </c>
      <c r="AK13" s="105" t="str">
        <f>IFERROR(VLOOKUP(B13,'CWS Salary 2024'!A12:I50,8,FALSE),"No salary data")</f>
        <v>No salary data</v>
      </c>
      <c r="AL13" s="125" t="e">
        <f t="shared" si="0"/>
        <v>#VALUE!</v>
      </c>
      <c r="AM13" s="13" t="e">
        <f t="shared" si="1"/>
        <v>#VALUE!</v>
      </c>
    </row>
    <row r="14" spans="1:39" hidden="1" x14ac:dyDescent="0.25">
      <c r="A14" s="19">
        <v>18</v>
      </c>
      <c r="B14" s="19" t="s">
        <v>95</v>
      </c>
      <c r="C14" s="19">
        <v>34</v>
      </c>
      <c r="D14" s="19" t="s">
        <v>74</v>
      </c>
      <c r="E14" s="19">
        <v>-0.1</v>
      </c>
      <c r="F14" s="19">
        <v>25</v>
      </c>
      <c r="G14" s="19">
        <v>85</v>
      </c>
      <c r="H14" s="19">
        <v>71</v>
      </c>
      <c r="I14" s="19">
        <v>6</v>
      </c>
      <c r="J14" s="19">
        <v>15</v>
      </c>
      <c r="K14" s="19">
        <v>4</v>
      </c>
      <c r="L14" s="19">
        <v>0</v>
      </c>
      <c r="M14" s="19">
        <v>0</v>
      </c>
      <c r="N14" s="19">
        <v>4</v>
      </c>
      <c r="O14" s="19">
        <v>2</v>
      </c>
      <c r="P14" s="19">
        <v>0</v>
      </c>
      <c r="Q14" s="19">
        <v>13</v>
      </c>
      <c r="R14" s="19">
        <v>20</v>
      </c>
      <c r="S14" s="19">
        <v>0.21099999999999999</v>
      </c>
      <c r="T14" s="19">
        <v>0.32900000000000001</v>
      </c>
      <c r="U14" s="19">
        <v>0.26800000000000002</v>
      </c>
      <c r="V14" s="19">
        <v>0.59699999999999998</v>
      </c>
      <c r="W14" s="19">
        <v>75</v>
      </c>
      <c r="X14" s="19">
        <v>0.29499999999999998</v>
      </c>
      <c r="Y14" s="19">
        <v>85</v>
      </c>
      <c r="Z14" s="19">
        <v>19</v>
      </c>
      <c r="AA14" s="19">
        <v>2</v>
      </c>
      <c r="AB14" s="19">
        <v>0</v>
      </c>
      <c r="AC14" s="19">
        <v>0</v>
      </c>
      <c r="AD14" s="19">
        <v>1</v>
      </c>
      <c r="AE14" s="19">
        <v>0</v>
      </c>
      <c r="AF14" s="19" t="s">
        <v>96</v>
      </c>
      <c r="AG14" s="19" t="s">
        <v>37</v>
      </c>
      <c r="AH14" s="19" t="s">
        <v>97</v>
      </c>
      <c r="AI14" s="19" t="s">
        <v>837</v>
      </c>
      <c r="AJ14" s="19" t="s">
        <v>820</v>
      </c>
      <c r="AK14" s="105" t="str">
        <f>IFERROR(VLOOKUP(B14,'CWS Salary 2024'!A13:I51,8,FALSE),"No salary data")</f>
        <v>No salary data</v>
      </c>
      <c r="AL14" s="125" t="e">
        <f t="shared" si="0"/>
        <v>#VALUE!</v>
      </c>
      <c r="AM14" s="13" t="e">
        <f t="shared" si="1"/>
        <v>#VALUE!</v>
      </c>
    </row>
    <row r="15" spans="1:39" x14ac:dyDescent="0.25">
      <c r="A15">
        <v>20</v>
      </c>
      <c r="B15" t="s">
        <v>101</v>
      </c>
      <c r="C15">
        <v>25</v>
      </c>
      <c r="D15" t="s">
        <v>74</v>
      </c>
      <c r="E15">
        <v>-0.1</v>
      </c>
      <c r="F15">
        <v>22</v>
      </c>
      <c r="G15">
        <v>75</v>
      </c>
      <c r="H15">
        <v>67</v>
      </c>
      <c r="I15">
        <v>10</v>
      </c>
      <c r="J15">
        <v>14</v>
      </c>
      <c r="K15">
        <v>5</v>
      </c>
      <c r="L15">
        <v>0</v>
      </c>
      <c r="M15">
        <v>1</v>
      </c>
      <c r="N15">
        <v>5</v>
      </c>
      <c r="O15">
        <v>0</v>
      </c>
      <c r="P15">
        <v>1</v>
      </c>
      <c r="Q15">
        <v>8</v>
      </c>
      <c r="R15">
        <v>21</v>
      </c>
      <c r="S15">
        <v>0.20899999999999999</v>
      </c>
      <c r="T15">
        <v>0.29299999999999998</v>
      </c>
      <c r="U15">
        <v>0.32800000000000001</v>
      </c>
      <c r="V15">
        <v>0.622</v>
      </c>
      <c r="W15">
        <v>79</v>
      </c>
      <c r="X15">
        <v>0.28000000000000003</v>
      </c>
      <c r="Y15">
        <v>84</v>
      </c>
      <c r="Z15">
        <v>22</v>
      </c>
      <c r="AA15">
        <v>0</v>
      </c>
      <c r="AB15">
        <v>0</v>
      </c>
      <c r="AC15">
        <v>0</v>
      </c>
      <c r="AD15">
        <v>0</v>
      </c>
      <c r="AE15">
        <v>0</v>
      </c>
      <c r="AF15" t="s">
        <v>102</v>
      </c>
      <c r="AG15" t="s">
        <v>37</v>
      </c>
      <c r="AH15" t="s">
        <v>103</v>
      </c>
      <c r="AI15" t="s">
        <v>837</v>
      </c>
      <c r="AJ15" t="s">
        <v>820</v>
      </c>
      <c r="AK15" s="105">
        <f>IFERROR(VLOOKUP(B15,'CWS Salary 2024'!A14:I52,8,FALSE),"No salary data")</f>
        <v>163098</v>
      </c>
      <c r="AL15" s="13">
        <f t="shared" si="0"/>
        <v>-1630980</v>
      </c>
      <c r="AM15" s="13">
        <f t="shared" si="1"/>
        <v>2064.5316455696202</v>
      </c>
    </row>
    <row r="16" spans="1:39" x14ac:dyDescent="0.25">
      <c r="A16" s="19">
        <v>17</v>
      </c>
      <c r="B16" s="19" t="s">
        <v>92</v>
      </c>
      <c r="C16" s="19">
        <v>22</v>
      </c>
      <c r="D16" s="19" t="s">
        <v>11</v>
      </c>
      <c r="E16" s="19">
        <v>-0.2</v>
      </c>
      <c r="F16" s="19">
        <v>32</v>
      </c>
      <c r="G16" s="19">
        <v>108</v>
      </c>
      <c r="H16" s="19">
        <v>99</v>
      </c>
      <c r="I16" s="19">
        <v>13</v>
      </c>
      <c r="J16" s="19">
        <v>20</v>
      </c>
      <c r="K16" s="19">
        <v>4</v>
      </c>
      <c r="L16" s="19">
        <v>0</v>
      </c>
      <c r="M16" s="19">
        <v>3</v>
      </c>
      <c r="N16" s="19">
        <v>11</v>
      </c>
      <c r="O16" s="19">
        <v>0</v>
      </c>
      <c r="P16" s="19">
        <v>2</v>
      </c>
      <c r="Q16" s="19">
        <v>7</v>
      </c>
      <c r="R16" s="19">
        <v>22</v>
      </c>
      <c r="S16" s="19">
        <v>0.20200000000000001</v>
      </c>
      <c r="T16">
        <v>0.252</v>
      </c>
      <c r="U16" s="19">
        <v>0.33300000000000002</v>
      </c>
      <c r="V16" s="19">
        <v>0.58599999999999997</v>
      </c>
      <c r="W16" s="19">
        <v>67</v>
      </c>
      <c r="X16" s="19">
        <v>0.27300000000000002</v>
      </c>
      <c r="Y16" s="19">
        <v>80</v>
      </c>
      <c r="Z16" s="19">
        <v>33</v>
      </c>
      <c r="AA16" s="19">
        <v>3</v>
      </c>
      <c r="AB16" s="19">
        <v>0</v>
      </c>
      <c r="AC16" s="19">
        <v>0</v>
      </c>
      <c r="AD16" s="19">
        <v>1</v>
      </c>
      <c r="AE16" s="19">
        <v>0</v>
      </c>
      <c r="AF16" s="19" t="s">
        <v>93</v>
      </c>
      <c r="AG16" s="19" t="s">
        <v>37</v>
      </c>
      <c r="AH16" s="19" t="s">
        <v>94</v>
      </c>
      <c r="AI16" s="19" t="s">
        <v>837</v>
      </c>
      <c r="AJ16" s="19" t="s">
        <v>820</v>
      </c>
      <c r="AK16" s="105">
        <f>IFERROR(VLOOKUP(B16,'CWS Salary 2024'!A15:I53,8,FALSE),"No salary data")</f>
        <v>206856</v>
      </c>
      <c r="AL16" s="13">
        <f t="shared" si="0"/>
        <v>-1034280</v>
      </c>
      <c r="AM16" s="13">
        <f t="shared" si="1"/>
        <v>3087.4029850746269</v>
      </c>
    </row>
    <row r="17" spans="1:39" hidden="1" x14ac:dyDescent="0.25">
      <c r="A17">
        <v>28</v>
      </c>
      <c r="B17" t="s">
        <v>125</v>
      </c>
      <c r="C17">
        <v>33</v>
      </c>
      <c r="D17" t="s">
        <v>58</v>
      </c>
      <c r="E17">
        <v>-0.2</v>
      </c>
      <c r="F17">
        <v>14</v>
      </c>
      <c r="G17">
        <v>17</v>
      </c>
      <c r="H17">
        <v>14</v>
      </c>
      <c r="I17">
        <v>4</v>
      </c>
      <c r="J17">
        <v>1</v>
      </c>
      <c r="K17">
        <v>0</v>
      </c>
      <c r="L17">
        <v>0</v>
      </c>
      <c r="M17">
        <v>0</v>
      </c>
      <c r="N17">
        <v>1</v>
      </c>
      <c r="O17">
        <v>2</v>
      </c>
      <c r="P17">
        <v>0</v>
      </c>
      <c r="Q17">
        <v>2</v>
      </c>
      <c r="R17">
        <v>4</v>
      </c>
      <c r="S17">
        <v>7.0999999999999994E-2</v>
      </c>
      <c r="T17">
        <v>0.17599999999999999</v>
      </c>
      <c r="U17">
        <v>7.0999999999999994E-2</v>
      </c>
      <c r="V17">
        <v>0.248</v>
      </c>
      <c r="W17">
        <v>-24</v>
      </c>
      <c r="X17">
        <v>0.21</v>
      </c>
      <c r="Y17">
        <v>8</v>
      </c>
      <c r="Z17">
        <v>1</v>
      </c>
      <c r="AA17">
        <v>1</v>
      </c>
      <c r="AB17">
        <v>0</v>
      </c>
      <c r="AC17">
        <v>0</v>
      </c>
      <c r="AD17">
        <v>1</v>
      </c>
      <c r="AE17">
        <v>0</v>
      </c>
      <c r="AF17" t="s">
        <v>126</v>
      </c>
      <c r="AG17" t="s">
        <v>37</v>
      </c>
      <c r="AH17" t="s">
        <v>127</v>
      </c>
      <c r="AI17" t="s">
        <v>837</v>
      </c>
      <c r="AJ17" t="s">
        <v>820</v>
      </c>
      <c r="AK17" s="105" t="str">
        <f>IFERROR(VLOOKUP(B17,'CWS Salary 2024'!A16:I54,8,FALSE),"No salary data")</f>
        <v>No salary data</v>
      </c>
      <c r="AL17" s="125" t="e">
        <f t="shared" si="0"/>
        <v>#VALUE!</v>
      </c>
      <c r="AM17" s="13" t="e">
        <f t="shared" si="1"/>
        <v>#VALUE!</v>
      </c>
    </row>
    <row r="18" spans="1:39" hidden="1" x14ac:dyDescent="0.25">
      <c r="A18" s="19">
        <v>29</v>
      </c>
      <c r="B18" s="19" t="s">
        <v>128</v>
      </c>
      <c r="C18" s="19">
        <v>26</v>
      </c>
      <c r="D18" s="19" t="s">
        <v>74</v>
      </c>
      <c r="E18" s="19">
        <v>-0.2</v>
      </c>
      <c r="F18" s="19">
        <v>8</v>
      </c>
      <c r="G18" s="19">
        <v>4</v>
      </c>
      <c r="H18" s="19">
        <v>4</v>
      </c>
      <c r="I18" s="19">
        <v>1</v>
      </c>
      <c r="J18" s="19">
        <v>0</v>
      </c>
      <c r="K18" s="19">
        <v>0</v>
      </c>
      <c r="L18" s="19">
        <v>0</v>
      </c>
      <c r="M18" s="19">
        <v>0</v>
      </c>
      <c r="N18" s="19">
        <v>0</v>
      </c>
      <c r="O18" s="19">
        <v>4</v>
      </c>
      <c r="P18" s="19">
        <v>0</v>
      </c>
      <c r="Q18" s="19">
        <v>0</v>
      </c>
      <c r="R18" s="19">
        <v>2</v>
      </c>
      <c r="S18" s="19">
        <v>0</v>
      </c>
      <c r="T18" s="19">
        <v>0</v>
      </c>
      <c r="U18" s="19">
        <v>0</v>
      </c>
      <c r="V18" s="19">
        <v>0</v>
      </c>
      <c r="W18" s="19">
        <v>-100</v>
      </c>
      <c r="X18" s="19">
        <v>0.248</v>
      </c>
      <c r="Y18" s="19">
        <v>-118</v>
      </c>
      <c r="Z18" s="19">
        <v>0</v>
      </c>
      <c r="AA18" s="19">
        <v>0</v>
      </c>
      <c r="AB18" s="19">
        <v>0</v>
      </c>
      <c r="AC18" s="19">
        <v>0</v>
      </c>
      <c r="AD18" s="19">
        <v>0</v>
      </c>
      <c r="AE18" s="19">
        <v>0</v>
      </c>
      <c r="AF18" s="19" t="s">
        <v>129</v>
      </c>
      <c r="AG18" s="19" t="s">
        <v>37</v>
      </c>
      <c r="AH18" s="19" t="s">
        <v>130</v>
      </c>
      <c r="AI18" s="19" t="s">
        <v>837</v>
      </c>
      <c r="AJ18" s="19" t="s">
        <v>820</v>
      </c>
      <c r="AK18" s="105" t="str">
        <f>IFERROR(VLOOKUP(B18,'CWS Salary 2024'!A17:I55,8,FALSE),"No salary data")</f>
        <v>No salary data</v>
      </c>
      <c r="AL18" s="125" t="e">
        <f t="shared" si="0"/>
        <v>#VALUE!</v>
      </c>
      <c r="AM18" s="13" t="e">
        <f t="shared" si="1"/>
        <v>#VALUE!</v>
      </c>
    </row>
    <row r="19" spans="1:39" hidden="1" x14ac:dyDescent="0.25">
      <c r="A19">
        <v>8</v>
      </c>
      <c r="B19" t="s">
        <v>61</v>
      </c>
      <c r="C19">
        <v>26</v>
      </c>
      <c r="D19" t="s">
        <v>62</v>
      </c>
      <c r="E19">
        <v>-0.3</v>
      </c>
      <c r="F19">
        <v>72</v>
      </c>
      <c r="G19">
        <v>241</v>
      </c>
      <c r="H19">
        <v>223</v>
      </c>
      <c r="I19">
        <v>14</v>
      </c>
      <c r="J19">
        <v>46</v>
      </c>
      <c r="K19">
        <v>8</v>
      </c>
      <c r="L19">
        <v>0</v>
      </c>
      <c r="M19">
        <v>1</v>
      </c>
      <c r="N19">
        <v>17</v>
      </c>
      <c r="O19">
        <v>0</v>
      </c>
      <c r="P19">
        <v>0</v>
      </c>
      <c r="Q19">
        <v>11</v>
      </c>
      <c r="R19">
        <v>58</v>
      </c>
      <c r="S19">
        <v>0.20599999999999999</v>
      </c>
      <c r="T19">
        <v>0.252</v>
      </c>
      <c r="U19">
        <v>0.25600000000000001</v>
      </c>
      <c r="V19">
        <v>0.50800000000000001</v>
      </c>
      <c r="W19">
        <v>47</v>
      </c>
      <c r="X19">
        <v>0.22500000000000001</v>
      </c>
      <c r="Y19">
        <v>38</v>
      </c>
      <c r="Z19">
        <v>57</v>
      </c>
      <c r="AA19">
        <v>5</v>
      </c>
      <c r="AB19">
        <v>3</v>
      </c>
      <c r="AC19">
        <v>2</v>
      </c>
      <c r="AD19">
        <v>1</v>
      </c>
      <c r="AE19">
        <v>1</v>
      </c>
      <c r="AF19" t="s">
        <v>63</v>
      </c>
      <c r="AG19" t="s">
        <v>37</v>
      </c>
      <c r="AH19" t="s">
        <v>64</v>
      </c>
      <c r="AI19" t="s">
        <v>837</v>
      </c>
      <c r="AJ19" t="s">
        <v>820</v>
      </c>
      <c r="AK19" s="105" t="str">
        <f>IFERROR(VLOOKUP(B19,'CWS Salary 2024'!A18:I56,8,FALSE),"No salary data")</f>
        <v>No salary data</v>
      </c>
      <c r="AL19" s="125" t="e">
        <f t="shared" si="0"/>
        <v>#VALUE!</v>
      </c>
      <c r="AM19" s="13" t="e">
        <f t="shared" si="1"/>
        <v>#VALUE!</v>
      </c>
    </row>
    <row r="20" spans="1:39" hidden="1" x14ac:dyDescent="0.25">
      <c r="A20" s="19">
        <v>15</v>
      </c>
      <c r="B20" s="19" t="s">
        <v>86</v>
      </c>
      <c r="C20" s="19">
        <v>30</v>
      </c>
      <c r="D20" s="19" t="s">
        <v>11</v>
      </c>
      <c r="E20" s="19">
        <v>-0.3</v>
      </c>
      <c r="F20" s="19">
        <v>47</v>
      </c>
      <c r="G20" s="19">
        <v>141</v>
      </c>
      <c r="H20" s="19">
        <v>132</v>
      </c>
      <c r="I20" s="19">
        <v>13</v>
      </c>
      <c r="J20" s="19">
        <v>26</v>
      </c>
      <c r="K20" s="19">
        <v>7</v>
      </c>
      <c r="L20" s="19">
        <v>0</v>
      </c>
      <c r="M20" s="19">
        <v>3</v>
      </c>
      <c r="N20" s="19">
        <v>8</v>
      </c>
      <c r="O20" s="19">
        <v>6</v>
      </c>
      <c r="P20" s="19">
        <v>0</v>
      </c>
      <c r="Q20" s="19">
        <v>6</v>
      </c>
      <c r="R20" s="19">
        <v>35</v>
      </c>
      <c r="S20" s="19">
        <v>0.19700000000000001</v>
      </c>
      <c r="T20" s="19">
        <v>0.24299999999999999</v>
      </c>
      <c r="U20" s="19">
        <v>0.318</v>
      </c>
      <c r="V20" s="19">
        <v>0.56100000000000005</v>
      </c>
      <c r="W20" s="19">
        <v>60</v>
      </c>
      <c r="X20" s="19">
        <v>0.255</v>
      </c>
      <c r="Y20" s="19">
        <v>53</v>
      </c>
      <c r="Z20" s="19">
        <v>42</v>
      </c>
      <c r="AA20" s="19">
        <v>3</v>
      </c>
      <c r="AB20" s="19">
        <v>2</v>
      </c>
      <c r="AC20" s="19">
        <v>1</v>
      </c>
      <c r="AD20" s="19">
        <v>0</v>
      </c>
      <c r="AE20" s="19">
        <v>0</v>
      </c>
      <c r="AF20" s="19" t="s">
        <v>87</v>
      </c>
      <c r="AG20" s="19" t="s">
        <v>37</v>
      </c>
      <c r="AH20" s="19" t="s">
        <v>88</v>
      </c>
      <c r="AI20" s="19" t="s">
        <v>837</v>
      </c>
      <c r="AJ20" s="19" t="s">
        <v>820</v>
      </c>
      <c r="AK20" s="105" t="str">
        <f>IFERROR(VLOOKUP(B20,'CWS Salary 2024'!A19:I57,8,FALSE),"No salary data")</f>
        <v>No salary data</v>
      </c>
      <c r="AL20" s="125" t="e">
        <f t="shared" si="0"/>
        <v>#VALUE!</v>
      </c>
      <c r="AM20" s="13" t="e">
        <f t="shared" si="1"/>
        <v>#VALUE!</v>
      </c>
    </row>
    <row r="21" spans="1:39" hidden="1" x14ac:dyDescent="0.25">
      <c r="A21">
        <v>5</v>
      </c>
      <c r="B21" t="s">
        <v>50</v>
      </c>
      <c r="C21">
        <v>24</v>
      </c>
      <c r="D21" t="s">
        <v>11</v>
      </c>
      <c r="E21">
        <v>-0.4</v>
      </c>
      <c r="F21">
        <v>100</v>
      </c>
      <c r="G21">
        <v>369</v>
      </c>
      <c r="H21">
        <v>351</v>
      </c>
      <c r="I21">
        <v>28</v>
      </c>
      <c r="J21">
        <v>89</v>
      </c>
      <c r="K21">
        <v>13</v>
      </c>
      <c r="L21">
        <v>0</v>
      </c>
      <c r="M21">
        <v>8</v>
      </c>
      <c r="N21">
        <v>35</v>
      </c>
      <c r="O21">
        <v>3</v>
      </c>
      <c r="P21">
        <v>1</v>
      </c>
      <c r="Q21">
        <v>12</v>
      </c>
      <c r="R21">
        <v>77</v>
      </c>
      <c r="S21">
        <v>0.254</v>
      </c>
      <c r="T21">
        <v>0.28299999999999997</v>
      </c>
      <c r="U21">
        <v>0.35899999999999999</v>
      </c>
      <c r="V21">
        <v>0.64200000000000002</v>
      </c>
      <c r="W21">
        <v>84</v>
      </c>
      <c r="X21">
        <v>0.28199999999999997</v>
      </c>
      <c r="Y21">
        <v>79</v>
      </c>
      <c r="Z21">
        <v>126</v>
      </c>
      <c r="AA21">
        <v>5</v>
      </c>
      <c r="AB21">
        <v>3</v>
      </c>
      <c r="AC21">
        <v>2</v>
      </c>
      <c r="AD21">
        <v>1</v>
      </c>
      <c r="AE21">
        <v>1</v>
      </c>
      <c r="AF21" t="s">
        <v>51</v>
      </c>
      <c r="AG21" t="s">
        <v>37</v>
      </c>
      <c r="AH21" t="s">
        <v>52</v>
      </c>
      <c r="AI21" t="s">
        <v>837</v>
      </c>
      <c r="AJ21" t="s">
        <v>820</v>
      </c>
      <c r="AK21" s="105" t="str">
        <f>IFERROR(VLOOKUP(B21,'CWS Salary 2024'!A20:I58,8,FALSE),"No salary data")</f>
        <v>No salary data</v>
      </c>
      <c r="AL21" s="125" t="e">
        <f t="shared" si="0"/>
        <v>#VALUE!</v>
      </c>
      <c r="AM21" s="13" t="e">
        <f t="shared" si="1"/>
        <v>#VALUE!</v>
      </c>
    </row>
    <row r="22" spans="1:39" hidden="1" x14ac:dyDescent="0.25">
      <c r="A22" s="19">
        <v>9</v>
      </c>
      <c r="B22" s="19" t="s">
        <v>65</v>
      </c>
      <c r="C22" s="19">
        <v>27</v>
      </c>
      <c r="D22" s="19" t="s">
        <v>66</v>
      </c>
      <c r="E22" s="19">
        <v>-0.5</v>
      </c>
      <c r="F22" s="19">
        <v>65</v>
      </c>
      <c r="G22" s="19">
        <v>249</v>
      </c>
      <c r="H22" s="19">
        <v>229</v>
      </c>
      <c r="I22" s="19">
        <v>18</v>
      </c>
      <c r="J22" s="19">
        <v>55</v>
      </c>
      <c r="K22" s="19">
        <v>9</v>
      </c>
      <c r="L22" s="19">
        <v>0</v>
      </c>
      <c r="M22" s="19">
        <v>5</v>
      </c>
      <c r="N22" s="19">
        <v>16</v>
      </c>
      <c r="O22" s="19">
        <v>3</v>
      </c>
      <c r="P22" s="19">
        <v>0</v>
      </c>
      <c r="Q22" s="19">
        <v>18</v>
      </c>
      <c r="R22" s="19">
        <v>47</v>
      </c>
      <c r="S22" s="19">
        <v>0.24</v>
      </c>
      <c r="T22" s="19">
        <v>0.29699999999999999</v>
      </c>
      <c r="U22" s="19">
        <v>0.34499999999999997</v>
      </c>
      <c r="V22" s="19">
        <v>0.64200000000000002</v>
      </c>
      <c r="W22" s="19">
        <v>84</v>
      </c>
      <c r="X22" s="19">
        <v>0.28399999999999997</v>
      </c>
      <c r="Y22" s="19">
        <v>80</v>
      </c>
      <c r="Z22" s="19">
        <v>79</v>
      </c>
      <c r="AA22" s="19">
        <v>11</v>
      </c>
      <c r="AB22" s="19">
        <v>1</v>
      </c>
      <c r="AC22" s="19">
        <v>0</v>
      </c>
      <c r="AD22" s="19">
        <v>1</v>
      </c>
      <c r="AE22" s="19">
        <v>1</v>
      </c>
      <c r="AF22" s="19" t="s">
        <v>67</v>
      </c>
      <c r="AG22" s="19" t="s">
        <v>37</v>
      </c>
      <c r="AH22" s="19" t="s">
        <v>68</v>
      </c>
      <c r="AI22" s="19" t="s">
        <v>837</v>
      </c>
      <c r="AJ22" s="19" t="s">
        <v>820</v>
      </c>
      <c r="AK22" s="105" t="str">
        <f>IFERROR(VLOOKUP(B22,'CWS Salary 2024'!A21:I59,8,FALSE),"No salary data")</f>
        <v>No salary data</v>
      </c>
      <c r="AL22" s="125" t="e">
        <f t="shared" si="0"/>
        <v>#VALUE!</v>
      </c>
      <c r="AM22" s="13" t="e">
        <f t="shared" si="1"/>
        <v>#VALUE!</v>
      </c>
    </row>
    <row r="23" spans="1:39" hidden="1" x14ac:dyDescent="0.25">
      <c r="A23">
        <v>19</v>
      </c>
      <c r="B23" t="s">
        <v>98</v>
      </c>
      <c r="C23">
        <v>29</v>
      </c>
      <c r="D23" t="s">
        <v>35</v>
      </c>
      <c r="E23">
        <v>-0.5</v>
      </c>
      <c r="F23">
        <v>26</v>
      </c>
      <c r="G23">
        <v>76</v>
      </c>
      <c r="H23">
        <v>70</v>
      </c>
      <c r="I23">
        <v>2</v>
      </c>
      <c r="J23">
        <v>9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5</v>
      </c>
      <c r="R23">
        <v>20</v>
      </c>
      <c r="S23">
        <v>0.129</v>
      </c>
      <c r="T23">
        <v>0.19700000000000001</v>
      </c>
      <c r="U23">
        <v>0.129</v>
      </c>
      <c r="V23">
        <v>0.32600000000000001</v>
      </c>
      <c r="W23">
        <v>-3</v>
      </c>
      <c r="X23">
        <v>0.17100000000000001</v>
      </c>
      <c r="Y23">
        <v>0</v>
      </c>
      <c r="Z23">
        <v>9</v>
      </c>
      <c r="AA23">
        <v>1</v>
      </c>
      <c r="AB23">
        <v>1</v>
      </c>
      <c r="AC23">
        <v>0</v>
      </c>
      <c r="AD23">
        <v>0</v>
      </c>
      <c r="AE23">
        <v>0</v>
      </c>
      <c r="AF23" t="s">
        <v>99</v>
      </c>
      <c r="AG23" t="s">
        <v>37</v>
      </c>
      <c r="AH23" t="s">
        <v>100</v>
      </c>
      <c r="AI23" t="s">
        <v>837</v>
      </c>
      <c r="AJ23" t="s">
        <v>820</v>
      </c>
      <c r="AK23" s="105" t="str">
        <f>IFERROR(VLOOKUP(B23,'CWS Salary 2024'!A22:I60,8,FALSE),"No salary data")</f>
        <v>No salary data</v>
      </c>
      <c r="AL23" s="125" t="e">
        <f t="shared" si="0"/>
        <v>#VALUE!</v>
      </c>
      <c r="AM23" s="13" t="e">
        <f t="shared" si="1"/>
        <v>#VALUE!</v>
      </c>
    </row>
    <row r="24" spans="1:39" hidden="1" x14ac:dyDescent="0.25">
      <c r="A24" s="19">
        <v>22</v>
      </c>
      <c r="B24" s="19" t="s">
        <v>107</v>
      </c>
      <c r="C24" s="19">
        <v>26</v>
      </c>
      <c r="D24" s="19" t="s">
        <v>108</v>
      </c>
      <c r="E24" s="19">
        <v>-0.6</v>
      </c>
      <c r="F24" s="19">
        <v>29</v>
      </c>
      <c r="G24" s="19">
        <v>67</v>
      </c>
      <c r="H24" s="19">
        <v>64</v>
      </c>
      <c r="I24" s="19">
        <v>4</v>
      </c>
      <c r="J24" s="19">
        <v>8</v>
      </c>
      <c r="K24" s="19">
        <v>2</v>
      </c>
      <c r="L24" s="19">
        <v>0</v>
      </c>
      <c r="M24" s="19">
        <v>1</v>
      </c>
      <c r="N24" s="19">
        <v>4</v>
      </c>
      <c r="O24" s="19">
        <v>5</v>
      </c>
      <c r="P24" s="19">
        <v>1</v>
      </c>
      <c r="Q24" s="19">
        <v>1</v>
      </c>
      <c r="R24" s="19">
        <v>10</v>
      </c>
      <c r="S24" s="19">
        <v>0.125</v>
      </c>
      <c r="T24" s="19">
        <v>0.13400000000000001</v>
      </c>
      <c r="U24" s="19">
        <v>0.20300000000000001</v>
      </c>
      <c r="V24" s="19">
        <v>0.33700000000000002</v>
      </c>
      <c r="W24" s="19">
        <v>-5</v>
      </c>
      <c r="X24" s="19">
        <v>0.154</v>
      </c>
      <c r="Y24" s="19">
        <v>-19</v>
      </c>
      <c r="Z24" s="19">
        <v>13</v>
      </c>
      <c r="AA24" s="19">
        <v>0</v>
      </c>
      <c r="AB24" s="19">
        <v>0</v>
      </c>
      <c r="AC24" s="19">
        <v>0</v>
      </c>
      <c r="AD24" s="19">
        <v>2</v>
      </c>
      <c r="AE24" s="19">
        <v>0</v>
      </c>
      <c r="AF24" s="19" t="s">
        <v>109</v>
      </c>
      <c r="AG24" s="19" t="s">
        <v>37</v>
      </c>
      <c r="AH24" s="19" t="s">
        <v>110</v>
      </c>
      <c r="AI24" s="19" t="s">
        <v>837</v>
      </c>
      <c r="AJ24" s="19" t="s">
        <v>820</v>
      </c>
      <c r="AK24" s="105" t="str">
        <f>IFERROR(VLOOKUP(B24,'CWS Salary 2024'!A23:I61,8,FALSE),"No salary data")</f>
        <v>No salary data</v>
      </c>
      <c r="AL24" s="125" t="e">
        <f t="shared" si="0"/>
        <v>#VALUE!</v>
      </c>
      <c r="AM24" s="13" t="e">
        <f t="shared" si="1"/>
        <v>#VALUE!</v>
      </c>
    </row>
    <row r="25" spans="1:39" hidden="1" x14ac:dyDescent="0.25">
      <c r="A25">
        <v>27</v>
      </c>
      <c r="B25" t="s">
        <v>122</v>
      </c>
      <c r="C25">
        <v>29</v>
      </c>
      <c r="D25" t="s">
        <v>70</v>
      </c>
      <c r="E25">
        <v>-0.7</v>
      </c>
      <c r="F25">
        <v>10</v>
      </c>
      <c r="G25">
        <v>32</v>
      </c>
      <c r="H25">
        <v>30</v>
      </c>
      <c r="I25">
        <v>0</v>
      </c>
      <c r="J25">
        <v>3</v>
      </c>
      <c r="K25">
        <v>1</v>
      </c>
      <c r="L25">
        <v>0</v>
      </c>
      <c r="M25">
        <v>0</v>
      </c>
      <c r="N25">
        <v>0</v>
      </c>
      <c r="O25">
        <v>0</v>
      </c>
      <c r="P25">
        <v>0</v>
      </c>
      <c r="Q25">
        <v>1</v>
      </c>
      <c r="R25">
        <v>8</v>
      </c>
      <c r="S25">
        <v>0.1</v>
      </c>
      <c r="T25">
        <v>0.129</v>
      </c>
      <c r="U25">
        <v>0.13300000000000001</v>
      </c>
      <c r="V25">
        <v>0.26200000000000001</v>
      </c>
      <c r="W25">
        <v>-24</v>
      </c>
      <c r="X25">
        <v>0.12</v>
      </c>
      <c r="Y25">
        <v>-41</v>
      </c>
      <c r="Z25">
        <v>4</v>
      </c>
      <c r="AA25">
        <v>0</v>
      </c>
      <c r="AB25">
        <v>0</v>
      </c>
      <c r="AC25">
        <v>1</v>
      </c>
      <c r="AD25">
        <v>0</v>
      </c>
      <c r="AE25">
        <v>0</v>
      </c>
      <c r="AF25" t="s">
        <v>123</v>
      </c>
      <c r="AG25" t="s">
        <v>37</v>
      </c>
      <c r="AH25" t="s">
        <v>124</v>
      </c>
      <c r="AI25" t="s">
        <v>837</v>
      </c>
      <c r="AJ25" t="s">
        <v>820</v>
      </c>
      <c r="AK25" s="105" t="str">
        <f>IFERROR(VLOOKUP(B25,'CWS Salary 2024'!A24:I62,8,FALSE),"No salary data")</f>
        <v>No salary data</v>
      </c>
      <c r="AL25" s="125" t="e">
        <f t="shared" si="0"/>
        <v>#VALUE!</v>
      </c>
      <c r="AM25" s="13" t="e">
        <f t="shared" si="1"/>
        <v>#VALUE!</v>
      </c>
    </row>
    <row r="26" spans="1:39" x14ac:dyDescent="0.25">
      <c r="A26" s="19">
        <v>6</v>
      </c>
      <c r="B26" s="104" t="s">
        <v>724</v>
      </c>
      <c r="C26" s="19">
        <v>29</v>
      </c>
      <c r="D26" s="19" t="s">
        <v>54</v>
      </c>
      <c r="E26" s="19">
        <v>-0.8</v>
      </c>
      <c r="F26" s="19">
        <v>135</v>
      </c>
      <c r="G26" s="19">
        <v>522</v>
      </c>
      <c r="H26" s="19">
        <v>477</v>
      </c>
      <c r="I26" s="19">
        <v>50</v>
      </c>
      <c r="J26" s="19">
        <v>109</v>
      </c>
      <c r="K26" s="19">
        <v>20</v>
      </c>
      <c r="L26" s="19">
        <v>0</v>
      </c>
      <c r="M26" s="19">
        <v>20</v>
      </c>
      <c r="N26" s="19">
        <v>64</v>
      </c>
      <c r="O26" s="19">
        <v>3</v>
      </c>
      <c r="P26" s="19">
        <v>2</v>
      </c>
      <c r="Q26" s="19">
        <v>41</v>
      </c>
      <c r="R26" s="19">
        <v>96</v>
      </c>
      <c r="S26" s="19">
        <v>0.22900000000000001</v>
      </c>
      <c r="T26">
        <v>0.28899999999999998</v>
      </c>
      <c r="U26" s="19">
        <v>0.39600000000000002</v>
      </c>
      <c r="V26" s="19">
        <v>0.68500000000000005</v>
      </c>
      <c r="W26" s="19">
        <v>95</v>
      </c>
      <c r="X26" s="19">
        <v>0.29899999999999999</v>
      </c>
      <c r="Y26" s="19">
        <v>92</v>
      </c>
      <c r="Z26" s="19">
        <v>189</v>
      </c>
      <c r="AA26" s="19">
        <v>12</v>
      </c>
      <c r="AB26" s="19">
        <v>1</v>
      </c>
      <c r="AC26" s="19">
        <v>0</v>
      </c>
      <c r="AD26" s="19">
        <v>3</v>
      </c>
      <c r="AE26" s="19">
        <v>1</v>
      </c>
      <c r="AF26" s="19" t="s">
        <v>55</v>
      </c>
      <c r="AG26" s="19" t="s">
        <v>37</v>
      </c>
      <c r="AH26" s="19" t="s">
        <v>56</v>
      </c>
      <c r="AI26" s="19" t="s">
        <v>837</v>
      </c>
      <c r="AJ26" s="19" t="s">
        <v>820</v>
      </c>
      <c r="AK26" s="105">
        <v>17100000</v>
      </c>
      <c r="AL26" s="13">
        <f t="shared" si="0"/>
        <v>-21375000</v>
      </c>
      <c r="AM26" s="13">
        <f t="shared" si="1"/>
        <v>180000</v>
      </c>
    </row>
    <row r="27" spans="1:39" hidden="1" x14ac:dyDescent="0.25">
      <c r="A27">
        <v>10</v>
      </c>
      <c r="B27" t="s">
        <v>69</v>
      </c>
      <c r="C27">
        <v>28</v>
      </c>
      <c r="D27" t="s">
        <v>70</v>
      </c>
      <c r="E27">
        <v>-1</v>
      </c>
      <c r="F27">
        <v>139</v>
      </c>
      <c r="G27">
        <v>501</v>
      </c>
      <c r="H27">
        <v>451</v>
      </c>
      <c r="I27">
        <v>35</v>
      </c>
      <c r="J27">
        <v>105</v>
      </c>
      <c r="K27">
        <v>24</v>
      </c>
      <c r="L27">
        <v>1</v>
      </c>
      <c r="M27">
        <v>10</v>
      </c>
      <c r="N27">
        <v>45</v>
      </c>
      <c r="O27">
        <v>2</v>
      </c>
      <c r="P27">
        <v>2</v>
      </c>
      <c r="Q27">
        <v>43</v>
      </c>
      <c r="R27">
        <v>106</v>
      </c>
      <c r="S27">
        <v>0.23300000000000001</v>
      </c>
      <c r="T27">
        <v>0.30299999999999999</v>
      </c>
      <c r="U27">
        <v>0.35699999999999998</v>
      </c>
      <c r="V27">
        <v>0.66</v>
      </c>
      <c r="W27">
        <v>90</v>
      </c>
      <c r="X27">
        <v>0.29199999999999998</v>
      </c>
      <c r="Y27">
        <v>88</v>
      </c>
      <c r="Z27">
        <v>161</v>
      </c>
      <c r="AA27">
        <v>6</v>
      </c>
      <c r="AB27">
        <v>4</v>
      </c>
      <c r="AC27">
        <v>0</v>
      </c>
      <c r="AD27">
        <v>3</v>
      </c>
      <c r="AE27">
        <v>2</v>
      </c>
      <c r="AF27" t="s">
        <v>71</v>
      </c>
      <c r="AG27" t="s">
        <v>37</v>
      </c>
      <c r="AH27" t="s">
        <v>72</v>
      </c>
      <c r="AI27" t="s">
        <v>837</v>
      </c>
      <c r="AJ27" t="s">
        <v>820</v>
      </c>
      <c r="AK27" s="105" t="str">
        <f>IFERROR(VLOOKUP(B27,'CWS Salary 2024'!A26:I64,8,FALSE),"No salary data")</f>
        <v>No salary data</v>
      </c>
      <c r="AL27" s="125" t="e">
        <f t="shared" si="0"/>
        <v>#VALUE!</v>
      </c>
      <c r="AM27" s="13" t="e">
        <f t="shared" si="1"/>
        <v>#VALUE!</v>
      </c>
    </row>
    <row r="28" spans="1:39" hidden="1" x14ac:dyDescent="0.25">
      <c r="A28" s="19">
        <v>13</v>
      </c>
      <c r="B28" s="19" t="s">
        <v>80</v>
      </c>
      <c r="C28" s="19">
        <v>24</v>
      </c>
      <c r="D28" s="19" t="s">
        <v>11</v>
      </c>
      <c r="E28" s="19">
        <v>-1</v>
      </c>
      <c r="F28" s="19">
        <v>42</v>
      </c>
      <c r="G28" s="19">
        <v>157</v>
      </c>
      <c r="H28" s="19">
        <v>135</v>
      </c>
      <c r="I28" s="19">
        <v>11</v>
      </c>
      <c r="J28" s="19">
        <v>14</v>
      </c>
      <c r="K28" s="19">
        <v>3</v>
      </c>
      <c r="L28" s="19">
        <v>0</v>
      </c>
      <c r="M28" s="19">
        <v>2</v>
      </c>
      <c r="N28" s="19">
        <v>7</v>
      </c>
      <c r="O28" s="19">
        <v>2</v>
      </c>
      <c r="P28" s="19">
        <v>1</v>
      </c>
      <c r="Q28" s="19">
        <v>17</v>
      </c>
      <c r="R28" s="19">
        <v>41</v>
      </c>
      <c r="S28" s="19">
        <v>0.104</v>
      </c>
      <c r="T28" s="19">
        <v>0.217</v>
      </c>
      <c r="U28" s="19">
        <v>0.17</v>
      </c>
      <c r="V28" s="19">
        <v>0.38700000000000001</v>
      </c>
      <c r="W28" s="19">
        <v>14</v>
      </c>
      <c r="X28" s="19">
        <v>0.20499999999999999</v>
      </c>
      <c r="Y28" s="19">
        <v>25</v>
      </c>
      <c r="Z28" s="19">
        <v>23</v>
      </c>
      <c r="AA28" s="19">
        <v>3</v>
      </c>
      <c r="AB28" s="19">
        <v>3</v>
      </c>
      <c r="AC28" s="19">
        <v>0</v>
      </c>
      <c r="AD28" s="19">
        <v>2</v>
      </c>
      <c r="AE28" s="19">
        <v>0</v>
      </c>
      <c r="AF28" s="19" t="s">
        <v>81</v>
      </c>
      <c r="AG28" s="19" t="s">
        <v>37</v>
      </c>
      <c r="AH28" s="19" t="s">
        <v>82</v>
      </c>
      <c r="AI28" s="19" t="s">
        <v>837</v>
      </c>
      <c r="AJ28" s="19" t="s">
        <v>820</v>
      </c>
      <c r="AK28" s="105" t="str">
        <f>IFERROR(VLOOKUP(B28,'CWS Salary 2024'!A27:I65,8,FALSE),"No salary data")</f>
        <v>No salary data</v>
      </c>
      <c r="AL28" s="125" t="e">
        <f t="shared" si="0"/>
        <v>#VALUE!</v>
      </c>
      <c r="AM28" s="13" t="e">
        <f t="shared" si="1"/>
        <v>#VALUE!</v>
      </c>
    </row>
    <row r="29" spans="1:39" hidden="1" x14ac:dyDescent="0.25">
      <c r="A29">
        <v>12</v>
      </c>
      <c r="B29" t="s">
        <v>77</v>
      </c>
      <c r="C29">
        <v>28</v>
      </c>
      <c r="D29" t="s">
        <v>74</v>
      </c>
      <c r="E29">
        <v>-1.1000000000000001</v>
      </c>
      <c r="F29">
        <v>66</v>
      </c>
      <c r="G29">
        <v>189</v>
      </c>
      <c r="H29">
        <v>173</v>
      </c>
      <c r="I29">
        <v>17</v>
      </c>
      <c r="J29">
        <v>37</v>
      </c>
      <c r="K29">
        <v>7</v>
      </c>
      <c r="L29">
        <v>0</v>
      </c>
      <c r="M29">
        <v>3</v>
      </c>
      <c r="N29">
        <v>14</v>
      </c>
      <c r="O29">
        <v>5</v>
      </c>
      <c r="P29">
        <v>2</v>
      </c>
      <c r="Q29">
        <v>15</v>
      </c>
      <c r="R29">
        <v>50</v>
      </c>
      <c r="S29">
        <v>0.214</v>
      </c>
      <c r="T29">
        <v>0.27500000000000002</v>
      </c>
      <c r="U29">
        <v>0.30599999999999999</v>
      </c>
      <c r="V29">
        <v>0.58099999999999996</v>
      </c>
      <c r="W29">
        <v>67</v>
      </c>
      <c r="X29">
        <v>0.26100000000000001</v>
      </c>
      <c r="Y29">
        <v>64</v>
      </c>
      <c r="Z29">
        <v>53</v>
      </c>
      <c r="AA29">
        <v>6</v>
      </c>
      <c r="AB29">
        <v>0</v>
      </c>
      <c r="AC29">
        <v>0</v>
      </c>
      <c r="AD29">
        <v>1</v>
      </c>
      <c r="AE29">
        <v>0</v>
      </c>
      <c r="AF29" t="s">
        <v>78</v>
      </c>
      <c r="AG29" t="s">
        <v>37</v>
      </c>
      <c r="AH29" t="s">
        <v>79</v>
      </c>
      <c r="AI29" t="s">
        <v>837</v>
      </c>
      <c r="AJ29" t="s">
        <v>820</v>
      </c>
      <c r="AK29" s="105" t="str">
        <f>IFERROR(VLOOKUP(B29,'CWS Salary 2024'!A28:I66,8,FALSE),"No salary data")</f>
        <v>No salary data</v>
      </c>
      <c r="AL29" s="125" t="e">
        <f t="shared" si="0"/>
        <v>#VALUE!</v>
      </c>
      <c r="AM29" s="13" t="e">
        <f t="shared" si="1"/>
        <v>#VALUE!</v>
      </c>
    </row>
    <row r="30" spans="1:39" hidden="1" x14ac:dyDescent="0.25">
      <c r="A30" s="18">
        <v>14</v>
      </c>
      <c r="B30" s="18" t="s">
        <v>83</v>
      </c>
      <c r="C30" s="18">
        <v>37</v>
      </c>
      <c r="D30" s="18" t="s">
        <v>35</v>
      </c>
      <c r="E30" s="18">
        <v>-1.3</v>
      </c>
      <c r="F30" s="18">
        <v>48</v>
      </c>
      <c r="G30" s="18">
        <v>147</v>
      </c>
      <c r="H30" s="18">
        <v>135</v>
      </c>
      <c r="I30" s="18">
        <v>9</v>
      </c>
      <c r="J30" s="18">
        <v>16</v>
      </c>
      <c r="K30" s="18">
        <v>3</v>
      </c>
      <c r="L30" s="18">
        <v>0</v>
      </c>
      <c r="M30" s="18">
        <v>4</v>
      </c>
      <c r="N30" s="18">
        <v>11</v>
      </c>
      <c r="O30" s="18">
        <v>0</v>
      </c>
      <c r="P30" s="18">
        <v>0</v>
      </c>
      <c r="Q30" s="18">
        <v>8</v>
      </c>
      <c r="R30" s="18">
        <v>51</v>
      </c>
      <c r="S30" s="18">
        <v>0.11899999999999999</v>
      </c>
      <c r="T30" s="18">
        <v>0.17399999999999999</v>
      </c>
      <c r="U30" s="18">
        <v>0.23</v>
      </c>
      <c r="V30" s="18">
        <v>0.40300000000000002</v>
      </c>
      <c r="W30" s="18">
        <v>15</v>
      </c>
      <c r="X30" s="18">
        <v>0.18</v>
      </c>
      <c r="Y30" s="18">
        <v>5</v>
      </c>
      <c r="Z30" s="18">
        <v>31</v>
      </c>
      <c r="AA30" s="18">
        <v>5</v>
      </c>
      <c r="AB30" s="18">
        <v>1</v>
      </c>
      <c r="AC30" s="18">
        <v>3</v>
      </c>
      <c r="AD30" s="18">
        <v>0</v>
      </c>
      <c r="AE30" s="18">
        <v>0</v>
      </c>
      <c r="AF30" s="18" t="s">
        <v>84</v>
      </c>
      <c r="AG30" s="18" t="s">
        <v>37</v>
      </c>
      <c r="AH30" s="18" t="s">
        <v>85</v>
      </c>
      <c r="AI30" s="18" t="s">
        <v>837</v>
      </c>
      <c r="AJ30" s="18" t="s">
        <v>820</v>
      </c>
      <c r="AK30" s="105" t="str">
        <f>IFERROR(VLOOKUP(B30,'CWS Salary 2024'!A29:I67,8,FALSE),"No salary data")</f>
        <v>No salary data</v>
      </c>
      <c r="AL30" s="125" t="e">
        <f t="shared" si="0"/>
        <v>#VALUE!</v>
      </c>
      <c r="AM30" s="13" t="e">
        <f t="shared" si="1"/>
        <v>#VALUE!</v>
      </c>
    </row>
    <row r="31" spans="1:39" x14ac:dyDescent="0.25">
      <c r="A31" s="85">
        <v>1</v>
      </c>
      <c r="B31" s="85" t="s">
        <v>229</v>
      </c>
      <c r="C31" s="85">
        <v>24</v>
      </c>
      <c r="D31" s="85" t="s">
        <v>35</v>
      </c>
      <c r="E31" s="85">
        <v>0.7</v>
      </c>
      <c r="F31" s="85">
        <v>123</v>
      </c>
      <c r="G31" s="85">
        <v>389</v>
      </c>
      <c r="H31" s="85">
        <v>354</v>
      </c>
      <c r="I31" s="85">
        <v>39</v>
      </c>
      <c r="J31" s="85">
        <v>71</v>
      </c>
      <c r="K31" s="85">
        <v>10</v>
      </c>
      <c r="L31" s="85">
        <v>2</v>
      </c>
      <c r="M31" s="85">
        <v>13</v>
      </c>
      <c r="N31" s="85">
        <v>39</v>
      </c>
      <c r="O31" s="85">
        <v>6</v>
      </c>
      <c r="P31" s="85">
        <v>3</v>
      </c>
      <c r="Q31" s="85">
        <v>29</v>
      </c>
      <c r="R31" s="85">
        <v>122</v>
      </c>
      <c r="S31" s="85">
        <v>0.20100000000000001</v>
      </c>
      <c r="T31" s="121">
        <v>0.26400000000000001</v>
      </c>
      <c r="U31" s="85">
        <v>0.35</v>
      </c>
      <c r="V31" s="85">
        <v>0.61399999999999999</v>
      </c>
      <c r="W31" s="85">
        <v>73</v>
      </c>
      <c r="X31" s="85">
        <v>0.27200000000000002</v>
      </c>
      <c r="Y31" s="85">
        <v>71</v>
      </c>
      <c r="Z31" s="85">
        <v>124</v>
      </c>
      <c r="AA31" s="85">
        <v>3</v>
      </c>
      <c r="AB31" s="85">
        <v>2</v>
      </c>
      <c r="AC31" s="85">
        <v>2</v>
      </c>
      <c r="AD31" s="85">
        <v>2</v>
      </c>
      <c r="AE31" s="85">
        <v>1</v>
      </c>
      <c r="AF31" s="85" t="s">
        <v>36</v>
      </c>
      <c r="AG31" s="85" t="s">
        <v>37</v>
      </c>
      <c r="AH31" s="85" t="s">
        <v>230</v>
      </c>
      <c r="AI31" s="85" t="s">
        <v>837</v>
      </c>
      <c r="AJ31" s="85" t="s">
        <v>821</v>
      </c>
      <c r="AK31" s="101">
        <f>IFERROR(VLOOKUP('PositionPlayer Data'!B31,'CLE Salary 2024'!A1:I33,8,FALSE),"No salary data")</f>
        <v>742100</v>
      </c>
      <c r="AL31" s="13">
        <f t="shared" si="0"/>
        <v>1060142.8571428573</v>
      </c>
      <c r="AM31" s="13">
        <f t="shared" si="1"/>
        <v>10165.753424657534</v>
      </c>
    </row>
    <row r="32" spans="1:39" x14ac:dyDescent="0.25">
      <c r="A32" s="4">
        <v>2</v>
      </c>
      <c r="B32" s="4" t="s">
        <v>231</v>
      </c>
      <c r="C32" s="4">
        <v>27</v>
      </c>
      <c r="D32" s="4" t="s">
        <v>40</v>
      </c>
      <c r="E32" s="4">
        <v>1.5</v>
      </c>
      <c r="F32" s="4">
        <v>152</v>
      </c>
      <c r="G32" s="4">
        <v>633</v>
      </c>
      <c r="H32" s="4">
        <v>563</v>
      </c>
      <c r="I32" s="4">
        <v>84</v>
      </c>
      <c r="J32" s="4">
        <v>137</v>
      </c>
      <c r="K32" s="4">
        <v>27</v>
      </c>
      <c r="L32" s="4">
        <v>0</v>
      </c>
      <c r="M32" s="4">
        <v>31</v>
      </c>
      <c r="N32" s="4">
        <v>108</v>
      </c>
      <c r="O32" s="4">
        <v>6</v>
      </c>
      <c r="P32" s="4">
        <v>2</v>
      </c>
      <c r="Q32" s="4">
        <v>58</v>
      </c>
      <c r="R32" s="4">
        <v>105</v>
      </c>
      <c r="S32" s="4">
        <v>0.24299999999999999</v>
      </c>
      <c r="T32" s="4">
        <v>0.32</v>
      </c>
      <c r="U32" s="4">
        <v>0.45600000000000002</v>
      </c>
      <c r="V32" s="4">
        <v>0.77600000000000002</v>
      </c>
      <c r="W32" s="4">
        <v>118</v>
      </c>
      <c r="X32" s="4">
        <v>0.33600000000000002</v>
      </c>
      <c r="Y32" s="4">
        <v>117</v>
      </c>
      <c r="Z32" s="4">
        <v>257</v>
      </c>
      <c r="AA32" s="4">
        <v>17</v>
      </c>
      <c r="AB32" s="4">
        <v>7</v>
      </c>
      <c r="AC32" s="4">
        <v>0</v>
      </c>
      <c r="AD32" s="4">
        <v>4</v>
      </c>
      <c r="AE32" s="4">
        <v>7</v>
      </c>
      <c r="AF32" s="4" t="s">
        <v>41</v>
      </c>
      <c r="AG32" s="4" t="s">
        <v>163</v>
      </c>
      <c r="AH32" s="4" t="s">
        <v>232</v>
      </c>
      <c r="AI32" s="4" t="s">
        <v>837</v>
      </c>
      <c r="AJ32" s="4" t="s">
        <v>821</v>
      </c>
      <c r="AK32" s="101">
        <f>IFERROR(VLOOKUP('PositionPlayer Data'!B32,'CLE Salary 2024'!A2:I34,8,FALSE),"No salary data")</f>
        <v>6500000</v>
      </c>
      <c r="AL32" s="13">
        <f t="shared" si="0"/>
        <v>4333333.333333333</v>
      </c>
      <c r="AM32" s="13">
        <f t="shared" si="1"/>
        <v>55084.745762711864</v>
      </c>
    </row>
    <row r="33" spans="1:39" x14ac:dyDescent="0.25">
      <c r="A33" s="3">
        <v>3</v>
      </c>
      <c r="B33" s="3" t="s">
        <v>233</v>
      </c>
      <c r="C33" s="3">
        <v>25</v>
      </c>
      <c r="D33" s="3" t="s">
        <v>10</v>
      </c>
      <c r="E33" s="3">
        <v>4</v>
      </c>
      <c r="F33" s="3">
        <v>152</v>
      </c>
      <c r="G33" s="3">
        <v>633</v>
      </c>
      <c r="H33" s="3">
        <v>583</v>
      </c>
      <c r="I33" s="3">
        <v>64</v>
      </c>
      <c r="J33" s="3">
        <v>147</v>
      </c>
      <c r="K33" s="3">
        <v>22</v>
      </c>
      <c r="L33" s="3">
        <v>1</v>
      </c>
      <c r="M33" s="3">
        <v>9</v>
      </c>
      <c r="N33" s="3">
        <v>63</v>
      </c>
      <c r="O33" s="3">
        <v>30</v>
      </c>
      <c r="P33" s="3">
        <v>5</v>
      </c>
      <c r="Q33" s="3">
        <v>26</v>
      </c>
      <c r="R33" s="3">
        <v>97</v>
      </c>
      <c r="S33" s="3">
        <v>0.252</v>
      </c>
      <c r="T33" s="3">
        <v>0.29799999999999999</v>
      </c>
      <c r="U33" s="3">
        <v>0.34</v>
      </c>
      <c r="V33" s="3">
        <v>0.63800000000000001</v>
      </c>
      <c r="W33" s="3">
        <v>82</v>
      </c>
      <c r="X33" s="3">
        <v>0.29399999999999998</v>
      </c>
      <c r="Y33" s="3">
        <v>81</v>
      </c>
      <c r="Z33" s="3">
        <v>198</v>
      </c>
      <c r="AA33" s="3">
        <v>11</v>
      </c>
      <c r="AB33" s="3">
        <v>15</v>
      </c>
      <c r="AC33" s="3">
        <v>3</v>
      </c>
      <c r="AD33" s="3">
        <v>6</v>
      </c>
      <c r="AE33" s="3">
        <v>1</v>
      </c>
      <c r="AF33" s="3" t="s">
        <v>234</v>
      </c>
      <c r="AG33" s="3" t="s">
        <v>235</v>
      </c>
      <c r="AH33" s="3" t="s">
        <v>236</v>
      </c>
      <c r="AI33" s="3" t="s">
        <v>837</v>
      </c>
      <c r="AJ33" s="3" t="s">
        <v>821</v>
      </c>
      <c r="AK33" s="89">
        <v>5621429</v>
      </c>
      <c r="AL33" s="13">
        <f t="shared" si="0"/>
        <v>1405357.25</v>
      </c>
      <c r="AM33" s="13">
        <f t="shared" si="1"/>
        <v>68554.012195121948</v>
      </c>
    </row>
    <row r="34" spans="1:39" hidden="1" x14ac:dyDescent="0.25">
      <c r="A34" s="4">
        <v>4</v>
      </c>
      <c r="B34" s="4" t="s">
        <v>237</v>
      </c>
      <c r="C34" s="4">
        <v>23</v>
      </c>
      <c r="D34" s="4" t="s">
        <v>47</v>
      </c>
      <c r="E34" s="4">
        <v>1.9</v>
      </c>
      <c r="F34" s="4">
        <v>143</v>
      </c>
      <c r="G34" s="4">
        <v>442</v>
      </c>
      <c r="H34" s="4">
        <v>383</v>
      </c>
      <c r="I34" s="4">
        <v>50</v>
      </c>
      <c r="J34" s="4">
        <v>79</v>
      </c>
      <c r="K34" s="4">
        <v>18</v>
      </c>
      <c r="L34" s="4">
        <v>0</v>
      </c>
      <c r="M34" s="4">
        <v>8</v>
      </c>
      <c r="N34" s="4">
        <v>36</v>
      </c>
      <c r="O34" s="4">
        <v>10</v>
      </c>
      <c r="P34" s="4">
        <v>6</v>
      </c>
      <c r="Q34" s="4">
        <v>44</v>
      </c>
      <c r="R34" s="4">
        <v>90</v>
      </c>
      <c r="S34" s="4">
        <v>0.20599999999999999</v>
      </c>
      <c r="T34" s="4">
        <v>0.29799999999999999</v>
      </c>
      <c r="U34" s="4">
        <v>0.316</v>
      </c>
      <c r="V34" s="4">
        <v>0.61399999999999999</v>
      </c>
      <c r="W34" s="4">
        <v>76</v>
      </c>
      <c r="X34" s="4">
        <v>0.28100000000000003</v>
      </c>
      <c r="Y34" s="4">
        <v>78</v>
      </c>
      <c r="Z34" s="4">
        <v>121</v>
      </c>
      <c r="AA34" s="4">
        <v>11</v>
      </c>
      <c r="AB34" s="4">
        <v>8</v>
      </c>
      <c r="AC34" s="4">
        <v>2</v>
      </c>
      <c r="AD34" s="4">
        <v>5</v>
      </c>
      <c r="AE34" s="4">
        <v>1</v>
      </c>
      <c r="AF34" s="4" t="s">
        <v>238</v>
      </c>
      <c r="AG34" s="4" t="s">
        <v>37</v>
      </c>
      <c r="AH34" s="4" t="s">
        <v>239</v>
      </c>
      <c r="AI34" s="4" t="s">
        <v>837</v>
      </c>
      <c r="AJ34" s="4" t="s">
        <v>821</v>
      </c>
      <c r="AK34" s="101" t="str">
        <f>IFERROR(VLOOKUP('PositionPlayer Data'!B34,'CLE Salary 2024'!A4:I36,8,FALSE),"No salary data")</f>
        <v>No salary data</v>
      </c>
      <c r="AL34" s="13" t="e">
        <f t="shared" si="0"/>
        <v>#VALUE!</v>
      </c>
      <c r="AM34" s="13" t="e">
        <f t="shared" si="1"/>
        <v>#VALUE!</v>
      </c>
    </row>
    <row r="35" spans="1:39" x14ac:dyDescent="0.25">
      <c r="A35" s="3">
        <v>5</v>
      </c>
      <c r="B35" s="3" t="s">
        <v>240</v>
      </c>
      <c r="C35" s="3">
        <v>31</v>
      </c>
      <c r="D35" s="3" t="s">
        <v>11</v>
      </c>
      <c r="E35" s="3">
        <v>6.8</v>
      </c>
      <c r="F35" s="3">
        <v>158</v>
      </c>
      <c r="G35" s="3">
        <v>682</v>
      </c>
      <c r="H35" s="3">
        <v>620</v>
      </c>
      <c r="I35" s="3">
        <v>114</v>
      </c>
      <c r="J35" s="3">
        <v>173</v>
      </c>
      <c r="K35" s="3">
        <v>39</v>
      </c>
      <c r="L35" s="3">
        <v>2</v>
      </c>
      <c r="M35" s="3">
        <v>39</v>
      </c>
      <c r="N35" s="3">
        <v>118</v>
      </c>
      <c r="O35" s="3">
        <v>41</v>
      </c>
      <c r="P35" s="3">
        <v>7</v>
      </c>
      <c r="Q35" s="3">
        <v>54</v>
      </c>
      <c r="R35" s="3">
        <v>82</v>
      </c>
      <c r="S35" s="3">
        <v>0.27900000000000003</v>
      </c>
      <c r="T35" s="3">
        <v>0.33500000000000002</v>
      </c>
      <c r="U35" s="3">
        <v>0.53700000000000003</v>
      </c>
      <c r="V35" s="3">
        <v>0.872</v>
      </c>
      <c r="W35" s="3">
        <v>143</v>
      </c>
      <c r="X35" s="3">
        <v>0.376</v>
      </c>
      <c r="Y35" s="3">
        <v>140</v>
      </c>
      <c r="Z35" s="3">
        <v>333</v>
      </c>
      <c r="AA35" s="3">
        <v>9</v>
      </c>
      <c r="AB35" s="3">
        <v>1</v>
      </c>
      <c r="AC35" s="3">
        <v>0</v>
      </c>
      <c r="AD35" s="3">
        <v>6</v>
      </c>
      <c r="AE35" s="3">
        <v>12</v>
      </c>
      <c r="AF35" s="3" t="s">
        <v>241</v>
      </c>
      <c r="AG35" s="3" t="s">
        <v>242</v>
      </c>
      <c r="AH35" s="3" t="s">
        <v>243</v>
      </c>
      <c r="AI35" s="3" t="s">
        <v>837</v>
      </c>
      <c r="AJ35" s="3" t="s">
        <v>821</v>
      </c>
      <c r="AK35" s="101">
        <v>17000000</v>
      </c>
      <c r="AL35" s="13">
        <f t="shared" si="0"/>
        <v>2500000</v>
      </c>
      <c r="AM35" s="13">
        <f t="shared" si="1"/>
        <v>118881.11888111888</v>
      </c>
    </row>
    <row r="36" spans="1:39" x14ac:dyDescent="0.25">
      <c r="A36" s="4">
        <v>6</v>
      </c>
      <c r="B36" s="4" t="s">
        <v>244</v>
      </c>
      <c r="C36" s="4">
        <v>26</v>
      </c>
      <c r="D36" s="4" t="s">
        <v>54</v>
      </c>
      <c r="E36" s="4">
        <v>4</v>
      </c>
      <c r="F36" s="4">
        <v>122</v>
      </c>
      <c r="G36" s="4">
        <v>540</v>
      </c>
      <c r="H36" s="4">
        <v>480</v>
      </c>
      <c r="I36" s="4">
        <v>83</v>
      </c>
      <c r="J36" s="4">
        <v>140</v>
      </c>
      <c r="K36" s="4">
        <v>16</v>
      </c>
      <c r="L36" s="4">
        <v>3</v>
      </c>
      <c r="M36" s="4">
        <v>14</v>
      </c>
      <c r="N36" s="4">
        <v>44</v>
      </c>
      <c r="O36" s="4">
        <v>12</v>
      </c>
      <c r="P36" s="4">
        <v>5</v>
      </c>
      <c r="Q36" s="4">
        <v>53</v>
      </c>
      <c r="R36" s="4">
        <v>51</v>
      </c>
      <c r="S36" s="4">
        <v>0.29199999999999998</v>
      </c>
      <c r="T36" s="4">
        <v>0.36799999999999999</v>
      </c>
      <c r="U36" s="4">
        <v>0.42499999999999999</v>
      </c>
      <c r="V36" s="4">
        <v>0.79300000000000004</v>
      </c>
      <c r="W36" s="4">
        <v>126</v>
      </c>
      <c r="X36" s="4">
        <v>0.35199999999999998</v>
      </c>
      <c r="Y36" s="4">
        <v>128</v>
      </c>
      <c r="Z36" s="4">
        <v>204</v>
      </c>
      <c r="AA36" s="4">
        <v>5</v>
      </c>
      <c r="AB36" s="4">
        <v>5</v>
      </c>
      <c r="AC36" s="4">
        <v>2</v>
      </c>
      <c r="AD36" s="4">
        <v>0</v>
      </c>
      <c r="AE36" s="4">
        <v>0</v>
      </c>
      <c r="AF36" s="4" t="s">
        <v>245</v>
      </c>
      <c r="AG36" s="4" t="s">
        <v>246</v>
      </c>
      <c r="AH36" s="4" t="s">
        <v>247</v>
      </c>
      <c r="AI36" s="4" t="s">
        <v>837</v>
      </c>
      <c r="AJ36" s="4" t="s">
        <v>821</v>
      </c>
      <c r="AK36" s="101">
        <f>IFERROR(VLOOKUP('PositionPlayer Data'!B36,'CLE Salary 2024'!A6:I38,8,FALSE),"No salary data")</f>
        <v>757600</v>
      </c>
      <c r="AL36" s="13">
        <f t="shared" si="0"/>
        <v>189400</v>
      </c>
      <c r="AM36" s="13">
        <f t="shared" si="1"/>
        <v>6012.6984126984125</v>
      </c>
    </row>
    <row r="37" spans="1:39" hidden="1" x14ac:dyDescent="0.25">
      <c r="A37" s="3">
        <v>7</v>
      </c>
      <c r="B37" s="3" t="s">
        <v>248</v>
      </c>
      <c r="C37" s="3">
        <v>25</v>
      </c>
      <c r="D37" s="3" t="s">
        <v>58</v>
      </c>
      <c r="E37" s="3">
        <v>0.9</v>
      </c>
      <c r="F37" s="3">
        <v>118</v>
      </c>
      <c r="G37" s="3">
        <v>383</v>
      </c>
      <c r="H37" s="3">
        <v>330</v>
      </c>
      <c r="I37" s="3">
        <v>48</v>
      </c>
      <c r="J37" s="3">
        <v>69</v>
      </c>
      <c r="K37" s="3">
        <v>14</v>
      </c>
      <c r="L37" s="3">
        <v>1</v>
      </c>
      <c r="M37" s="3">
        <v>7</v>
      </c>
      <c r="N37" s="3">
        <v>32</v>
      </c>
      <c r="O37" s="3">
        <v>11</v>
      </c>
      <c r="P37" s="3">
        <v>6</v>
      </c>
      <c r="Q37" s="3">
        <v>28</v>
      </c>
      <c r="R37" s="3">
        <v>53</v>
      </c>
      <c r="S37" s="3">
        <v>0.20899999999999999</v>
      </c>
      <c r="T37" s="3">
        <v>0.30499999999999999</v>
      </c>
      <c r="U37" s="3">
        <v>0.32100000000000001</v>
      </c>
      <c r="V37" s="3">
        <v>0.626</v>
      </c>
      <c r="W37" s="3">
        <v>79</v>
      </c>
      <c r="X37" s="3">
        <v>0.28799999999999998</v>
      </c>
      <c r="Y37" s="3">
        <v>83</v>
      </c>
      <c r="Z37" s="3">
        <v>106</v>
      </c>
      <c r="AA37" s="3">
        <v>15</v>
      </c>
      <c r="AB37" s="3">
        <v>19</v>
      </c>
      <c r="AC37" s="3">
        <v>3</v>
      </c>
      <c r="AD37" s="3">
        <v>3</v>
      </c>
      <c r="AE37" s="3">
        <v>1</v>
      </c>
      <c r="AF37" s="3" t="s">
        <v>249</v>
      </c>
      <c r="AG37" s="3" t="s">
        <v>37</v>
      </c>
      <c r="AH37" s="3" t="s">
        <v>250</v>
      </c>
      <c r="AI37" s="3" t="s">
        <v>837</v>
      </c>
      <c r="AJ37" s="3" t="s">
        <v>821</v>
      </c>
      <c r="AK37" s="101" t="str">
        <f>IFERROR(VLOOKUP('PositionPlayer Data'!B37,'CLE Salary 2024'!A7:I39,8,FALSE),"No salary data")</f>
        <v>No salary data</v>
      </c>
      <c r="AL37" s="13" t="e">
        <f t="shared" si="0"/>
        <v>#VALUE!</v>
      </c>
      <c r="AM37" s="13" t="e">
        <f t="shared" si="1"/>
        <v>#VALUE!</v>
      </c>
    </row>
    <row r="38" spans="1:39" x14ac:dyDescent="0.25">
      <c r="A38" s="4">
        <v>8</v>
      </c>
      <c r="B38" s="4" t="s">
        <v>251</v>
      </c>
      <c r="C38" s="4">
        <v>26</v>
      </c>
      <c r="D38" s="4" t="s">
        <v>62</v>
      </c>
      <c r="E38" s="4">
        <v>-0.2</v>
      </c>
      <c r="F38" s="4">
        <v>114</v>
      </c>
      <c r="G38" s="4">
        <v>353</v>
      </c>
      <c r="H38" s="4">
        <v>330</v>
      </c>
      <c r="I38" s="4">
        <v>37</v>
      </c>
      <c r="J38" s="4">
        <v>87</v>
      </c>
      <c r="K38" s="4">
        <v>13</v>
      </c>
      <c r="L38" s="4">
        <v>2</v>
      </c>
      <c r="M38" s="4">
        <v>8</v>
      </c>
      <c r="N38" s="4">
        <v>30</v>
      </c>
      <c r="O38" s="4">
        <v>4</v>
      </c>
      <c r="P38" s="4">
        <v>2</v>
      </c>
      <c r="Q38" s="4">
        <v>19</v>
      </c>
      <c r="R38" s="4">
        <v>48</v>
      </c>
      <c r="S38" s="4">
        <v>0.26400000000000001</v>
      </c>
      <c r="T38" s="4">
        <v>0.309</v>
      </c>
      <c r="U38" s="4">
        <v>0.38800000000000001</v>
      </c>
      <c r="V38" s="4">
        <v>0.69699999999999995</v>
      </c>
      <c r="W38" s="4">
        <v>97</v>
      </c>
      <c r="X38" s="4">
        <v>0.307</v>
      </c>
      <c r="Y38" s="4">
        <v>96</v>
      </c>
      <c r="Z38" s="4">
        <v>128</v>
      </c>
      <c r="AA38" s="4">
        <v>9</v>
      </c>
      <c r="AB38" s="4">
        <v>3</v>
      </c>
      <c r="AC38" s="4">
        <v>0</v>
      </c>
      <c r="AD38" s="4">
        <v>1</v>
      </c>
      <c r="AE38" s="4">
        <v>2</v>
      </c>
      <c r="AF38" s="4" t="s">
        <v>252</v>
      </c>
      <c r="AG38" s="4" t="s">
        <v>37</v>
      </c>
      <c r="AH38" s="4" t="s">
        <v>253</v>
      </c>
      <c r="AI38" s="4" t="s">
        <v>837</v>
      </c>
      <c r="AJ38" s="4" t="s">
        <v>821</v>
      </c>
      <c r="AK38" s="101">
        <f>IFERROR(VLOOKUP('PositionPlayer Data'!B38,'CLE Salary 2024'!A8:I40,8,FALSE),"No salary data")</f>
        <v>776970</v>
      </c>
      <c r="AL38" s="13">
        <f t="shared" si="0"/>
        <v>-3884850</v>
      </c>
      <c r="AM38" s="13">
        <f t="shared" si="1"/>
        <v>8010</v>
      </c>
    </row>
    <row r="39" spans="1:39" hidden="1" x14ac:dyDescent="0.25">
      <c r="A39" s="3">
        <v>9</v>
      </c>
      <c r="B39" s="3" t="s">
        <v>254</v>
      </c>
      <c r="C39" s="3">
        <v>28</v>
      </c>
      <c r="D39" s="3" t="s">
        <v>66</v>
      </c>
      <c r="E39" s="3">
        <v>1.4</v>
      </c>
      <c r="F39" s="3">
        <v>122</v>
      </c>
      <c r="G39" s="3">
        <v>392</v>
      </c>
      <c r="H39" s="3">
        <v>335</v>
      </c>
      <c r="I39" s="3">
        <v>44</v>
      </c>
      <c r="J39" s="3">
        <v>88</v>
      </c>
      <c r="K39" s="3">
        <v>18</v>
      </c>
      <c r="L39" s="3">
        <v>1</v>
      </c>
      <c r="M39" s="3">
        <v>14</v>
      </c>
      <c r="N39" s="3">
        <v>51</v>
      </c>
      <c r="O39" s="3">
        <v>4</v>
      </c>
      <c r="P39" s="3">
        <v>1</v>
      </c>
      <c r="Q39" s="3">
        <v>42</v>
      </c>
      <c r="R39" s="3">
        <v>84</v>
      </c>
      <c r="S39" s="3">
        <v>0.26300000000000001</v>
      </c>
      <c r="T39" s="3">
        <v>0.35599999999999998</v>
      </c>
      <c r="U39" s="3">
        <v>0.44800000000000001</v>
      </c>
      <c r="V39" s="3">
        <v>0.80400000000000005</v>
      </c>
      <c r="W39" s="3">
        <v>128</v>
      </c>
      <c r="X39" s="3">
        <v>0.35199999999999998</v>
      </c>
      <c r="Y39" s="3">
        <v>128</v>
      </c>
      <c r="Z39" s="3">
        <v>150</v>
      </c>
      <c r="AA39" s="3">
        <v>13</v>
      </c>
      <c r="AB39" s="3">
        <v>9</v>
      </c>
      <c r="AC39" s="3">
        <v>0</v>
      </c>
      <c r="AD39" s="3">
        <v>4</v>
      </c>
      <c r="AE39" s="3">
        <v>4</v>
      </c>
      <c r="AF39" s="3" t="s">
        <v>255</v>
      </c>
      <c r="AG39" s="3" t="s">
        <v>163</v>
      </c>
      <c r="AH39" s="3" t="s">
        <v>256</v>
      </c>
      <c r="AI39" s="3" t="s">
        <v>837</v>
      </c>
      <c r="AJ39" s="3" t="s">
        <v>821</v>
      </c>
      <c r="AK39" s="101" t="str">
        <f>IFERROR(VLOOKUP('PositionPlayer Data'!B39,'CLE Salary 2024'!A9:I41,8,FALSE),"No salary data")</f>
        <v>No salary data</v>
      </c>
      <c r="AL39" s="13" t="e">
        <f t="shared" si="0"/>
        <v>#VALUE!</v>
      </c>
      <c r="AM39" s="13" t="e">
        <f t="shared" si="1"/>
        <v>#VALUE!</v>
      </c>
    </row>
    <row r="40" spans="1:39" x14ac:dyDescent="0.25">
      <c r="A40" s="4">
        <v>10</v>
      </c>
      <c r="B40" s="4" t="s">
        <v>257</v>
      </c>
      <c r="C40" s="4">
        <v>27</v>
      </c>
      <c r="D40" s="4" t="s">
        <v>70</v>
      </c>
      <c r="E40" s="4">
        <v>0.7</v>
      </c>
      <c r="F40" s="4">
        <v>73</v>
      </c>
      <c r="G40" s="4">
        <v>221</v>
      </c>
      <c r="H40" s="4">
        <v>193</v>
      </c>
      <c r="I40" s="4">
        <v>17</v>
      </c>
      <c r="J40" s="4">
        <v>42</v>
      </c>
      <c r="K40" s="4">
        <v>10</v>
      </c>
      <c r="L40" s="4">
        <v>2</v>
      </c>
      <c r="M40" s="4">
        <v>5</v>
      </c>
      <c r="N40" s="4">
        <v>22</v>
      </c>
      <c r="O40" s="4">
        <v>3</v>
      </c>
      <c r="P40" s="4">
        <v>2</v>
      </c>
      <c r="Q40" s="4">
        <v>25</v>
      </c>
      <c r="R40" s="4">
        <v>70</v>
      </c>
      <c r="S40" s="4">
        <v>0.218</v>
      </c>
      <c r="T40" s="4">
        <v>0.30299999999999999</v>
      </c>
      <c r="U40" s="4">
        <v>0.36799999999999999</v>
      </c>
      <c r="V40" s="4">
        <v>0.67100000000000004</v>
      </c>
      <c r="W40" s="4">
        <v>91</v>
      </c>
      <c r="X40" s="4">
        <v>0.29699999999999999</v>
      </c>
      <c r="Y40" s="4">
        <v>90</v>
      </c>
      <c r="Z40" s="4">
        <v>71</v>
      </c>
      <c r="AA40" s="4">
        <v>1</v>
      </c>
      <c r="AB40" s="4">
        <v>0</v>
      </c>
      <c r="AC40" s="4">
        <v>0</v>
      </c>
      <c r="AD40" s="4">
        <v>3</v>
      </c>
      <c r="AE40" s="4">
        <v>0</v>
      </c>
      <c r="AF40" s="4" t="s">
        <v>258</v>
      </c>
      <c r="AG40" s="4" t="s">
        <v>37</v>
      </c>
      <c r="AH40" s="4" t="s">
        <v>259</v>
      </c>
      <c r="AI40" s="4" t="s">
        <v>837</v>
      </c>
      <c r="AJ40" s="4" t="s">
        <v>821</v>
      </c>
      <c r="AK40" s="101">
        <f>IFERROR(VLOOKUP('PositionPlayer Data'!B40,'CLE Salary 2024'!A10:I42,8,FALSE),"No salary data")</f>
        <v>740000</v>
      </c>
      <c r="AL40" s="13">
        <f t="shared" si="0"/>
        <v>1057142.8571428573</v>
      </c>
      <c r="AM40" s="13">
        <f t="shared" si="1"/>
        <v>8131.868131868132</v>
      </c>
    </row>
    <row r="41" spans="1:39" x14ac:dyDescent="0.25">
      <c r="A41" s="3">
        <v>11</v>
      </c>
      <c r="B41" s="3" t="s">
        <v>260</v>
      </c>
      <c r="C41" s="3">
        <v>22</v>
      </c>
      <c r="D41" s="3" t="s">
        <v>62</v>
      </c>
      <c r="E41" s="3">
        <v>1</v>
      </c>
      <c r="F41" s="3">
        <v>67</v>
      </c>
      <c r="G41" s="3">
        <v>198</v>
      </c>
      <c r="H41" s="3">
        <v>179</v>
      </c>
      <c r="I41" s="3">
        <v>25</v>
      </c>
      <c r="J41" s="3">
        <v>39</v>
      </c>
      <c r="K41" s="3">
        <v>7</v>
      </c>
      <c r="L41" s="3">
        <v>1</v>
      </c>
      <c r="M41" s="3">
        <v>13</v>
      </c>
      <c r="N41" s="3">
        <v>28</v>
      </c>
      <c r="O41" s="3">
        <v>0</v>
      </c>
      <c r="P41" s="3">
        <v>0</v>
      </c>
      <c r="Q41" s="3">
        <v>13</v>
      </c>
      <c r="R41" s="3">
        <v>63</v>
      </c>
      <c r="S41" s="3">
        <v>0.218</v>
      </c>
      <c r="T41" s="4">
        <v>0.28799999999999998</v>
      </c>
      <c r="U41" s="3">
        <v>0.48599999999999999</v>
      </c>
      <c r="V41" s="3">
        <v>0.77400000000000002</v>
      </c>
      <c r="W41" s="3">
        <v>115</v>
      </c>
      <c r="X41" s="3">
        <v>0.33300000000000002</v>
      </c>
      <c r="Y41" s="3">
        <v>114</v>
      </c>
      <c r="Z41" s="3">
        <v>87</v>
      </c>
      <c r="AA41" s="3">
        <v>1</v>
      </c>
      <c r="AB41" s="3">
        <v>5</v>
      </c>
      <c r="AC41" s="3">
        <v>0</v>
      </c>
      <c r="AD41" s="3">
        <v>1</v>
      </c>
      <c r="AE41" s="3">
        <v>0</v>
      </c>
      <c r="AF41" s="3" t="s">
        <v>261</v>
      </c>
      <c r="AG41" s="3" t="s">
        <v>37</v>
      </c>
      <c r="AH41" s="3" t="s">
        <v>262</v>
      </c>
      <c r="AI41" s="3" t="s">
        <v>837</v>
      </c>
      <c r="AJ41" s="3" t="s">
        <v>821</v>
      </c>
      <c r="AK41" s="101">
        <f>IFERROR(VLOOKUP('PositionPlayer Data'!B41,'CLE Salary 2024'!A11:I43,8,FALSE),"No salary data")</f>
        <v>377910</v>
      </c>
      <c r="AL41" s="13">
        <f t="shared" si="0"/>
        <v>377910</v>
      </c>
      <c r="AM41" s="13">
        <f t="shared" si="1"/>
        <v>3286.1739130434785</v>
      </c>
    </row>
    <row r="42" spans="1:39" hidden="1" x14ac:dyDescent="0.25">
      <c r="A42" s="4">
        <v>12</v>
      </c>
      <c r="B42" s="4" t="s">
        <v>263</v>
      </c>
      <c r="C42" s="4">
        <v>28</v>
      </c>
      <c r="D42" s="4" t="s">
        <v>58</v>
      </c>
      <c r="E42" s="4">
        <v>-0.2</v>
      </c>
      <c r="F42" s="4">
        <v>53</v>
      </c>
      <c r="G42" s="4">
        <v>187</v>
      </c>
      <c r="H42" s="4">
        <v>172</v>
      </c>
      <c r="I42" s="4">
        <v>23</v>
      </c>
      <c r="J42" s="4">
        <v>36</v>
      </c>
      <c r="K42" s="4">
        <v>10</v>
      </c>
      <c r="L42" s="4">
        <v>0</v>
      </c>
      <c r="M42" s="4">
        <v>7</v>
      </c>
      <c r="N42" s="4">
        <v>23</v>
      </c>
      <c r="O42" s="4">
        <v>4</v>
      </c>
      <c r="P42" s="4">
        <v>2</v>
      </c>
      <c r="Q42" s="4">
        <v>12</v>
      </c>
      <c r="R42" s="4">
        <v>65</v>
      </c>
      <c r="S42" s="4">
        <v>0.20899999999999999</v>
      </c>
      <c r="T42" s="4">
        <v>0.26700000000000002</v>
      </c>
      <c r="U42" s="4">
        <v>0.39</v>
      </c>
      <c r="V42" s="4">
        <v>0.65700000000000003</v>
      </c>
      <c r="W42" s="4">
        <v>85</v>
      </c>
      <c r="X42" s="4">
        <v>0.28000000000000003</v>
      </c>
      <c r="Y42" s="4">
        <v>76</v>
      </c>
      <c r="Z42" s="4">
        <v>67</v>
      </c>
      <c r="AA42" s="4">
        <v>1</v>
      </c>
      <c r="AB42" s="4">
        <v>2</v>
      </c>
      <c r="AC42" s="4">
        <v>0</v>
      </c>
      <c r="AD42" s="4">
        <v>1</v>
      </c>
      <c r="AE42" s="4">
        <v>1</v>
      </c>
      <c r="AF42" s="4" t="s">
        <v>264</v>
      </c>
      <c r="AG42" s="4" t="s">
        <v>37</v>
      </c>
      <c r="AH42" s="4" t="s">
        <v>265</v>
      </c>
      <c r="AI42" s="4" t="s">
        <v>837</v>
      </c>
      <c r="AJ42" s="4" t="s">
        <v>821</v>
      </c>
      <c r="AK42" s="101" t="str">
        <f>IFERROR(VLOOKUP('PositionPlayer Data'!B42,'CLE Salary 2024'!A12:I44,8,FALSE),"No salary data")</f>
        <v>No salary data</v>
      </c>
      <c r="AL42" s="13" t="e">
        <f t="shared" si="0"/>
        <v>#VALUE!</v>
      </c>
      <c r="AM42" s="13" t="e">
        <f t="shared" si="1"/>
        <v>#VALUE!</v>
      </c>
    </row>
    <row r="43" spans="1:39" hidden="1" x14ac:dyDescent="0.25">
      <c r="A43" s="3">
        <v>13</v>
      </c>
      <c r="B43" s="3" t="s">
        <v>266</v>
      </c>
      <c r="C43" s="3">
        <v>22</v>
      </c>
      <c r="D43" s="3" t="s">
        <v>74</v>
      </c>
      <c r="E43" s="3">
        <v>0.1</v>
      </c>
      <c r="F43" s="3">
        <v>43</v>
      </c>
      <c r="G43" s="3">
        <v>169</v>
      </c>
      <c r="H43" s="3">
        <v>151</v>
      </c>
      <c r="I43" s="3">
        <v>16</v>
      </c>
      <c r="J43" s="3">
        <v>35</v>
      </c>
      <c r="K43" s="3">
        <v>7</v>
      </c>
      <c r="L43" s="3">
        <v>0</v>
      </c>
      <c r="M43" s="3">
        <v>3</v>
      </c>
      <c r="N43" s="3">
        <v>11</v>
      </c>
      <c r="O43" s="3">
        <v>3</v>
      </c>
      <c r="P43" s="3">
        <v>1</v>
      </c>
      <c r="Q43" s="3">
        <v>15</v>
      </c>
      <c r="R43" s="3">
        <v>33</v>
      </c>
      <c r="S43" s="3">
        <v>0.23200000000000001</v>
      </c>
      <c r="T43" s="3">
        <v>0.29799999999999999</v>
      </c>
      <c r="U43" s="3">
        <v>0.33800000000000002</v>
      </c>
      <c r="V43" s="3">
        <v>0.63500000000000001</v>
      </c>
      <c r="W43" s="3">
        <v>81</v>
      </c>
      <c r="X43" s="3">
        <v>0.28599999999999998</v>
      </c>
      <c r="Y43" s="3">
        <v>80</v>
      </c>
      <c r="Z43" s="3">
        <v>51</v>
      </c>
      <c r="AA43" s="3">
        <v>2</v>
      </c>
      <c r="AB43" s="3">
        <v>0</v>
      </c>
      <c r="AC43" s="3">
        <v>1</v>
      </c>
      <c r="AD43" s="3">
        <v>2</v>
      </c>
      <c r="AE43" s="3">
        <v>0</v>
      </c>
      <c r="AF43" s="3" t="s">
        <v>267</v>
      </c>
      <c r="AG43" s="3" t="s">
        <v>37</v>
      </c>
      <c r="AH43" s="3" t="s">
        <v>268</v>
      </c>
      <c r="AI43" s="3" t="s">
        <v>837</v>
      </c>
      <c r="AJ43" s="3" t="s">
        <v>821</v>
      </c>
      <c r="AK43" s="101" t="str">
        <f>IFERROR(VLOOKUP('PositionPlayer Data'!B43,'CLE Salary 2024'!A13:I45,8,FALSE),"No salary data")</f>
        <v>No salary data</v>
      </c>
      <c r="AL43" s="13" t="e">
        <f t="shared" si="0"/>
        <v>#VALUE!</v>
      </c>
      <c r="AM43" s="13" t="e">
        <f t="shared" si="1"/>
        <v>#VALUE!</v>
      </c>
    </row>
    <row r="44" spans="1:39" hidden="1" x14ac:dyDescent="0.25">
      <c r="A44" s="4">
        <v>14</v>
      </c>
      <c r="B44" s="4" t="s">
        <v>269</v>
      </c>
      <c r="C44" s="4">
        <v>24</v>
      </c>
      <c r="D44" s="4" t="s">
        <v>108</v>
      </c>
      <c r="E44" s="4">
        <v>-0.4</v>
      </c>
      <c r="F44" s="4">
        <v>53</v>
      </c>
      <c r="G44" s="4">
        <v>161</v>
      </c>
      <c r="H44" s="4">
        <v>153</v>
      </c>
      <c r="I44" s="4">
        <v>15</v>
      </c>
      <c r="J44" s="4">
        <v>34</v>
      </c>
      <c r="K44" s="4">
        <v>9</v>
      </c>
      <c r="L44" s="4">
        <v>1</v>
      </c>
      <c r="M44" s="4">
        <v>3</v>
      </c>
      <c r="N44" s="4">
        <v>15</v>
      </c>
      <c r="O44" s="4">
        <v>5</v>
      </c>
      <c r="P44" s="4">
        <v>2</v>
      </c>
      <c r="Q44" s="4">
        <v>6</v>
      </c>
      <c r="R44" s="4">
        <v>53</v>
      </c>
      <c r="S44" s="4">
        <v>0.222</v>
      </c>
      <c r="T44" s="4">
        <v>0.255</v>
      </c>
      <c r="U44" s="4">
        <v>0.35299999999999998</v>
      </c>
      <c r="V44" s="4">
        <v>0.60799999999999998</v>
      </c>
      <c r="W44" s="4">
        <v>71</v>
      </c>
      <c r="X44" s="4">
        <v>0.27300000000000002</v>
      </c>
      <c r="Y44" s="4">
        <v>71</v>
      </c>
      <c r="Z44" s="4">
        <v>54</v>
      </c>
      <c r="AA44" s="4">
        <v>4</v>
      </c>
      <c r="AB44" s="4">
        <v>1</v>
      </c>
      <c r="AC44" s="4">
        <v>0</v>
      </c>
      <c r="AD44" s="4">
        <v>1</v>
      </c>
      <c r="AE44" s="4">
        <v>0</v>
      </c>
      <c r="AF44" s="4" t="s">
        <v>270</v>
      </c>
      <c r="AG44" s="4" t="s">
        <v>37</v>
      </c>
      <c r="AH44" s="4" t="s">
        <v>271</v>
      </c>
      <c r="AI44" s="4" t="s">
        <v>837</v>
      </c>
      <c r="AJ44" s="4" t="s">
        <v>821</v>
      </c>
      <c r="AK44" s="101" t="str">
        <f>IFERROR(VLOOKUP('PositionPlayer Data'!B44,'CLE Salary 2024'!A14:I46,8,FALSE),"No salary data")</f>
        <v>No salary data</v>
      </c>
      <c r="AL44" s="13" t="e">
        <f t="shared" si="0"/>
        <v>#VALUE!</v>
      </c>
      <c r="AM44" s="13" t="e">
        <f t="shared" si="1"/>
        <v>#VALUE!</v>
      </c>
    </row>
    <row r="45" spans="1:39" x14ac:dyDescent="0.25">
      <c r="A45" s="3">
        <v>15</v>
      </c>
      <c r="B45" s="3" t="s">
        <v>272</v>
      </c>
      <c r="C45" s="3">
        <v>23</v>
      </c>
      <c r="D45" s="3" t="s">
        <v>66</v>
      </c>
      <c r="E45" s="3">
        <v>0</v>
      </c>
      <c r="F45" s="3">
        <v>53</v>
      </c>
      <c r="G45" s="3">
        <v>156</v>
      </c>
      <c r="H45" s="3">
        <v>145</v>
      </c>
      <c r="I45" s="3">
        <v>11</v>
      </c>
      <c r="J45" s="3">
        <v>34</v>
      </c>
      <c r="K45" s="3">
        <v>12</v>
      </c>
      <c r="L45" s="3">
        <v>0</v>
      </c>
      <c r="M45" s="3">
        <v>5</v>
      </c>
      <c r="N45" s="3">
        <v>15</v>
      </c>
      <c r="O45" s="3">
        <v>0</v>
      </c>
      <c r="P45" s="3">
        <v>0</v>
      </c>
      <c r="Q45" s="3">
        <v>9</v>
      </c>
      <c r="R45" s="3">
        <v>41</v>
      </c>
      <c r="S45" s="3">
        <v>0.23400000000000001</v>
      </c>
      <c r="T45" s="4">
        <v>0.28199999999999997</v>
      </c>
      <c r="U45" s="3">
        <v>0.42099999999999999</v>
      </c>
      <c r="V45" s="3">
        <v>0.70299999999999996</v>
      </c>
      <c r="W45" s="3">
        <v>97</v>
      </c>
      <c r="X45" s="3">
        <v>0.307</v>
      </c>
      <c r="Y45" s="3">
        <v>96</v>
      </c>
      <c r="Z45" s="3">
        <v>61</v>
      </c>
      <c r="AA45" s="3">
        <v>3</v>
      </c>
      <c r="AB45" s="3">
        <v>1</v>
      </c>
      <c r="AC45" s="3">
        <v>0</v>
      </c>
      <c r="AD45" s="3">
        <v>1</v>
      </c>
      <c r="AE45" s="3">
        <v>0</v>
      </c>
      <c r="AF45" s="3" t="s">
        <v>273</v>
      </c>
      <c r="AG45" s="3" t="s">
        <v>37</v>
      </c>
      <c r="AH45" s="3" t="s">
        <v>274</v>
      </c>
      <c r="AI45" s="3" t="s">
        <v>837</v>
      </c>
      <c r="AJ45" s="3" t="s">
        <v>821</v>
      </c>
      <c r="AK45" s="101">
        <f>IFERROR(VLOOKUP('PositionPlayer Data'!B45,'CLE Salary 2024'!A15:I47,8,FALSE),"No salary data")</f>
        <v>282438</v>
      </c>
      <c r="AL45" s="13" t="e">
        <f t="shared" si="0"/>
        <v>#DIV/0!</v>
      </c>
      <c r="AM45" s="13">
        <f t="shared" si="1"/>
        <v>2911.7319587628867</v>
      </c>
    </row>
    <row r="46" spans="1:39" hidden="1" x14ac:dyDescent="0.25">
      <c r="A46" s="4">
        <v>16</v>
      </c>
      <c r="B46" s="4" t="s">
        <v>275</v>
      </c>
      <c r="C46" s="4">
        <v>31</v>
      </c>
      <c r="D46" s="4" t="s">
        <v>35</v>
      </c>
      <c r="E46" s="4">
        <v>-0.6</v>
      </c>
      <c r="F46" s="4">
        <v>66</v>
      </c>
      <c r="G46" s="4">
        <v>146</v>
      </c>
      <c r="H46" s="4">
        <v>132</v>
      </c>
      <c r="I46" s="4">
        <v>12</v>
      </c>
      <c r="J46" s="4">
        <v>20</v>
      </c>
      <c r="K46" s="4">
        <v>3</v>
      </c>
      <c r="L46" s="4">
        <v>0</v>
      </c>
      <c r="M46" s="4">
        <v>2</v>
      </c>
      <c r="N46" s="4">
        <v>15</v>
      </c>
      <c r="O46" s="4">
        <v>2</v>
      </c>
      <c r="P46" s="4">
        <v>0</v>
      </c>
      <c r="Q46" s="4">
        <v>6</v>
      </c>
      <c r="R46" s="4">
        <v>50</v>
      </c>
      <c r="S46" s="4">
        <v>0.152</v>
      </c>
      <c r="T46" s="4">
        <v>0.20300000000000001</v>
      </c>
      <c r="U46" s="4">
        <v>0.22</v>
      </c>
      <c r="V46" s="4">
        <v>0.42199999999999999</v>
      </c>
      <c r="W46" s="4">
        <v>21</v>
      </c>
      <c r="X46" s="4">
        <v>0.19900000000000001</v>
      </c>
      <c r="Y46" s="4">
        <v>14</v>
      </c>
      <c r="Z46" s="4">
        <v>29</v>
      </c>
      <c r="AA46" s="4">
        <v>2</v>
      </c>
      <c r="AB46" s="4">
        <v>3</v>
      </c>
      <c r="AC46" s="4">
        <v>3</v>
      </c>
      <c r="AD46" s="4">
        <v>2</v>
      </c>
      <c r="AE46" s="4">
        <v>0</v>
      </c>
      <c r="AF46" s="4" t="s">
        <v>276</v>
      </c>
      <c r="AG46" s="4" t="s">
        <v>37</v>
      </c>
      <c r="AH46" s="4" t="s">
        <v>277</v>
      </c>
      <c r="AI46" s="4" t="s">
        <v>837</v>
      </c>
      <c r="AJ46" s="4" t="s">
        <v>821</v>
      </c>
      <c r="AK46" s="101" t="str">
        <f>IFERROR(VLOOKUP('PositionPlayer Data'!B46,'CLE Salary 2024'!A16:I48,8,FALSE),"No salary data")</f>
        <v>No salary data</v>
      </c>
      <c r="AL46" s="13" t="e">
        <f t="shared" si="0"/>
        <v>#VALUE!</v>
      </c>
      <c r="AM46" s="13" t="e">
        <f t="shared" si="1"/>
        <v>#VALUE!</v>
      </c>
    </row>
    <row r="47" spans="1:39" hidden="1" x14ac:dyDescent="0.25">
      <c r="A47" s="3">
        <v>17</v>
      </c>
      <c r="B47" s="3" t="s">
        <v>278</v>
      </c>
      <c r="C47" s="3">
        <v>26</v>
      </c>
      <c r="D47" s="3" t="s">
        <v>74</v>
      </c>
      <c r="E47" s="3">
        <v>0.1</v>
      </c>
      <c r="F47" s="3">
        <v>36</v>
      </c>
      <c r="G47" s="3">
        <v>111</v>
      </c>
      <c r="H47" s="3">
        <v>98</v>
      </c>
      <c r="I47" s="3">
        <v>11</v>
      </c>
      <c r="J47" s="3">
        <v>17</v>
      </c>
      <c r="K47" s="3">
        <v>6</v>
      </c>
      <c r="L47" s="3">
        <v>2</v>
      </c>
      <c r="M47" s="3">
        <v>3</v>
      </c>
      <c r="N47" s="3">
        <v>11</v>
      </c>
      <c r="O47" s="3">
        <v>2</v>
      </c>
      <c r="P47" s="3">
        <v>1</v>
      </c>
      <c r="Q47" s="3">
        <v>11</v>
      </c>
      <c r="R47" s="3">
        <v>41</v>
      </c>
      <c r="S47" s="3">
        <v>0.17299999999999999</v>
      </c>
      <c r="T47" s="3">
        <v>0.26400000000000001</v>
      </c>
      <c r="U47" s="3">
        <v>0.36699999999999999</v>
      </c>
      <c r="V47" s="3">
        <v>0.63100000000000001</v>
      </c>
      <c r="W47" s="3">
        <v>78</v>
      </c>
      <c r="X47" s="3">
        <v>0.27500000000000002</v>
      </c>
      <c r="Y47" s="3">
        <v>73</v>
      </c>
      <c r="Z47" s="3">
        <v>36</v>
      </c>
      <c r="AA47" s="3">
        <v>2</v>
      </c>
      <c r="AB47" s="3">
        <v>1</v>
      </c>
      <c r="AC47" s="3">
        <v>1</v>
      </c>
      <c r="AD47" s="3">
        <v>0</v>
      </c>
      <c r="AE47" s="3">
        <v>0</v>
      </c>
      <c r="AF47" s="3" t="s">
        <v>279</v>
      </c>
      <c r="AG47" s="3" t="s">
        <v>37</v>
      </c>
      <c r="AH47" s="3" t="s">
        <v>280</v>
      </c>
      <c r="AI47" s="3" t="s">
        <v>837</v>
      </c>
      <c r="AJ47" s="3" t="s">
        <v>821</v>
      </c>
      <c r="AK47" s="101" t="str">
        <f>IFERROR(VLOOKUP('PositionPlayer Data'!B47,'CLE Salary 2024'!A17:I49,8,FALSE),"No salary data")</f>
        <v>No salary data</v>
      </c>
      <c r="AL47" s="13" t="e">
        <f t="shared" si="0"/>
        <v>#VALUE!</v>
      </c>
      <c r="AM47" s="13" t="e">
        <f t="shared" si="1"/>
        <v>#VALUE!</v>
      </c>
    </row>
    <row r="48" spans="1:39" hidden="1" x14ac:dyDescent="0.25">
      <c r="A48" s="4">
        <v>18</v>
      </c>
      <c r="B48" s="4" t="s">
        <v>281</v>
      </c>
      <c r="C48" s="4">
        <v>29</v>
      </c>
      <c r="D48" s="4" t="s">
        <v>74</v>
      </c>
      <c r="E48" s="4">
        <v>0</v>
      </c>
      <c r="F48" s="4">
        <v>31</v>
      </c>
      <c r="G48" s="4">
        <v>83</v>
      </c>
      <c r="H48" s="4">
        <v>70</v>
      </c>
      <c r="I48" s="4">
        <v>7</v>
      </c>
      <c r="J48" s="4">
        <v>10</v>
      </c>
      <c r="K48" s="4">
        <v>3</v>
      </c>
      <c r="L48" s="4">
        <v>0</v>
      </c>
      <c r="M48" s="4">
        <v>1</v>
      </c>
      <c r="N48" s="4">
        <v>4</v>
      </c>
      <c r="O48" s="4">
        <v>3</v>
      </c>
      <c r="P48" s="4">
        <v>1</v>
      </c>
      <c r="Q48" s="4">
        <v>7</v>
      </c>
      <c r="R48" s="4">
        <v>32</v>
      </c>
      <c r="S48" s="4">
        <v>0.14299999999999999</v>
      </c>
      <c r="T48" s="4">
        <v>0.26500000000000001</v>
      </c>
      <c r="U48" s="4">
        <v>0.22900000000000001</v>
      </c>
      <c r="V48" s="4">
        <v>0.49399999999999999</v>
      </c>
      <c r="W48" s="4">
        <v>43</v>
      </c>
      <c r="X48" s="4">
        <v>0.248</v>
      </c>
      <c r="Y48" s="4">
        <v>52</v>
      </c>
      <c r="Z48" s="4">
        <v>16</v>
      </c>
      <c r="AA48" s="4">
        <v>1</v>
      </c>
      <c r="AB48" s="4">
        <v>5</v>
      </c>
      <c r="AC48" s="4">
        <v>0</v>
      </c>
      <c r="AD48" s="4">
        <v>1</v>
      </c>
      <c r="AE48" s="4">
        <v>0</v>
      </c>
      <c r="AF48" s="4" t="s">
        <v>282</v>
      </c>
      <c r="AG48" s="4" t="s">
        <v>37</v>
      </c>
      <c r="AH48" s="4" t="s">
        <v>283</v>
      </c>
      <c r="AI48" s="4" t="s">
        <v>837</v>
      </c>
      <c r="AJ48" s="4" t="s">
        <v>821</v>
      </c>
      <c r="AK48" s="101" t="str">
        <f>IFERROR(VLOOKUP('PositionPlayer Data'!B48,'CLE Salary 2024'!A18:I50,8,FALSE),"No salary data")</f>
        <v>No salary data</v>
      </c>
      <c r="AL48" s="13" t="e">
        <f t="shared" si="0"/>
        <v>#VALUE!</v>
      </c>
      <c r="AM48" s="13" t="e">
        <f t="shared" si="1"/>
        <v>#VALUE!</v>
      </c>
    </row>
    <row r="49" spans="1:39" hidden="1" x14ac:dyDescent="0.25">
      <c r="A49" s="3">
        <v>19</v>
      </c>
      <c r="B49" s="3" t="s">
        <v>284</v>
      </c>
      <c r="C49" s="3">
        <v>24</v>
      </c>
      <c r="D49" s="3" t="s">
        <v>62</v>
      </c>
      <c r="E49" s="3">
        <v>-0.4</v>
      </c>
      <c r="F49" s="3">
        <v>13</v>
      </c>
      <c r="G49" s="3">
        <v>40</v>
      </c>
      <c r="H49" s="3">
        <v>31</v>
      </c>
      <c r="I49" s="3">
        <v>6</v>
      </c>
      <c r="J49" s="3">
        <v>4</v>
      </c>
      <c r="K49" s="3">
        <v>1</v>
      </c>
      <c r="L49" s="3">
        <v>0</v>
      </c>
      <c r="M49" s="3">
        <v>0</v>
      </c>
      <c r="N49" s="3">
        <v>5</v>
      </c>
      <c r="O49" s="3">
        <v>0</v>
      </c>
      <c r="P49" s="3">
        <v>0</v>
      </c>
      <c r="Q49" s="3">
        <v>9</v>
      </c>
      <c r="R49" s="3">
        <v>14</v>
      </c>
      <c r="S49" s="3">
        <v>0.129</v>
      </c>
      <c r="T49" s="3">
        <v>0.32500000000000001</v>
      </c>
      <c r="U49" s="3">
        <v>0.161</v>
      </c>
      <c r="V49" s="3">
        <v>0.48599999999999999</v>
      </c>
      <c r="W49" s="3">
        <v>46</v>
      </c>
      <c r="X49" s="3">
        <v>0.25</v>
      </c>
      <c r="Y49" s="3">
        <v>55</v>
      </c>
      <c r="Z49" s="3">
        <v>5</v>
      </c>
      <c r="AA49" s="3">
        <v>1</v>
      </c>
      <c r="AB49" s="3">
        <v>0</v>
      </c>
      <c r="AC49" s="3">
        <v>0</v>
      </c>
      <c r="AD49" s="3">
        <v>0</v>
      </c>
      <c r="AE49" s="3">
        <v>0</v>
      </c>
      <c r="AF49" s="3" t="s">
        <v>96</v>
      </c>
      <c r="AG49" s="3" t="s">
        <v>37</v>
      </c>
      <c r="AH49" s="3" t="s">
        <v>285</v>
      </c>
      <c r="AI49" s="3" t="s">
        <v>837</v>
      </c>
      <c r="AJ49" s="3" t="s">
        <v>821</v>
      </c>
      <c r="AK49" s="101" t="str">
        <f>IFERROR(VLOOKUP('PositionPlayer Data'!B49,'CLE Salary 2024'!A19:I51,8,FALSE),"No salary data")</f>
        <v>No salary data</v>
      </c>
      <c r="AL49" s="13" t="e">
        <f t="shared" si="0"/>
        <v>#VALUE!</v>
      </c>
      <c r="AM49" s="13" t="e">
        <f t="shared" si="1"/>
        <v>#VALUE!</v>
      </c>
    </row>
    <row r="50" spans="1:39" hidden="1" x14ac:dyDescent="0.25">
      <c r="A50" s="4">
        <v>20</v>
      </c>
      <c r="B50" s="4" t="s">
        <v>286</v>
      </c>
      <c r="C50" s="4">
        <v>29</v>
      </c>
      <c r="D50" s="4" t="s">
        <v>66</v>
      </c>
      <c r="E50" s="4">
        <v>-0.1</v>
      </c>
      <c r="F50" s="4">
        <v>7</v>
      </c>
      <c r="G50" s="4">
        <v>4</v>
      </c>
      <c r="H50" s="4">
        <v>4</v>
      </c>
      <c r="I50" s="4">
        <v>2</v>
      </c>
      <c r="J50" s="4">
        <v>1</v>
      </c>
      <c r="K50" s="4">
        <v>0</v>
      </c>
      <c r="L50" s="4">
        <v>0</v>
      </c>
      <c r="M50" s="4">
        <v>0</v>
      </c>
      <c r="N50" s="4">
        <v>0</v>
      </c>
      <c r="O50" s="4">
        <v>2</v>
      </c>
      <c r="P50" s="4">
        <v>0</v>
      </c>
      <c r="Q50" s="4">
        <v>0</v>
      </c>
      <c r="R50" s="4">
        <v>0</v>
      </c>
      <c r="S50" s="4">
        <v>0.25</v>
      </c>
      <c r="T50" s="4">
        <v>0.25</v>
      </c>
      <c r="U50" s="4">
        <v>0.25</v>
      </c>
      <c r="V50" s="4">
        <v>0.5</v>
      </c>
      <c r="W50" s="4">
        <v>44</v>
      </c>
      <c r="X50" s="4">
        <v>0.34799999999999998</v>
      </c>
      <c r="Y50" s="4">
        <v>38</v>
      </c>
      <c r="Z50" s="4">
        <v>1</v>
      </c>
      <c r="AA50" s="4">
        <v>0</v>
      </c>
      <c r="AB50" s="4">
        <v>0</v>
      </c>
      <c r="AC50" s="4">
        <v>0</v>
      </c>
      <c r="AD50" s="4">
        <v>0</v>
      </c>
      <c r="AE50" s="4">
        <v>0</v>
      </c>
      <c r="AF50" s="4" t="s">
        <v>287</v>
      </c>
      <c r="AG50" s="4" t="s">
        <v>37</v>
      </c>
      <c r="AH50" s="4" t="s">
        <v>288</v>
      </c>
      <c r="AI50" s="4" t="s">
        <v>837</v>
      </c>
      <c r="AJ50" s="4" t="s">
        <v>821</v>
      </c>
      <c r="AK50" s="101" t="str">
        <f>IFERROR(VLOOKUP('PositionPlayer Data'!B50,'CLE Salary 2024'!A20:I52,8,FALSE),"No salary data")</f>
        <v>No salary data</v>
      </c>
      <c r="AL50" s="13" t="e">
        <f t="shared" si="0"/>
        <v>#VALUE!</v>
      </c>
      <c r="AM50" s="13" t="e">
        <f t="shared" si="1"/>
        <v>#VALUE!</v>
      </c>
    </row>
    <row r="51" spans="1:39" x14ac:dyDescent="0.25">
      <c r="A51" s="3">
        <v>21</v>
      </c>
      <c r="B51" s="3" t="s">
        <v>289</v>
      </c>
      <c r="C51" s="3">
        <v>23</v>
      </c>
      <c r="D51" s="3" t="s">
        <v>11</v>
      </c>
      <c r="E51" s="3">
        <v>-0.1</v>
      </c>
      <c r="F51" s="3">
        <v>3</v>
      </c>
      <c r="G51" s="3">
        <v>4</v>
      </c>
      <c r="H51" s="3">
        <v>4</v>
      </c>
      <c r="I51" s="3">
        <v>0</v>
      </c>
      <c r="J51" s="3">
        <v>0</v>
      </c>
      <c r="K51" s="3">
        <v>0</v>
      </c>
      <c r="L51" s="3">
        <v>0</v>
      </c>
      <c r="M51" s="3">
        <v>0</v>
      </c>
      <c r="N51" s="3">
        <v>0</v>
      </c>
      <c r="O51" s="3">
        <v>0</v>
      </c>
      <c r="P51" s="3">
        <v>0</v>
      </c>
      <c r="Q51" s="3">
        <v>0</v>
      </c>
      <c r="R51" s="3">
        <v>2</v>
      </c>
      <c r="S51" s="3">
        <v>0</v>
      </c>
      <c r="T51" s="4">
        <v>0</v>
      </c>
      <c r="U51" s="3">
        <v>0</v>
      </c>
      <c r="V51" s="3">
        <v>0</v>
      </c>
      <c r="W51" s="3">
        <v>-100</v>
      </c>
      <c r="X51" s="3">
        <v>0</v>
      </c>
      <c r="Y51" s="3">
        <v>-124</v>
      </c>
      <c r="Z51" s="3">
        <v>0</v>
      </c>
      <c r="AA51" s="3">
        <v>0</v>
      </c>
      <c r="AB51" s="3">
        <v>0</v>
      </c>
      <c r="AC51" s="3">
        <v>0</v>
      </c>
      <c r="AD51" s="3">
        <v>0</v>
      </c>
      <c r="AE51" s="3">
        <v>0</v>
      </c>
      <c r="AF51" s="3" t="s">
        <v>290</v>
      </c>
      <c r="AG51" s="3" t="s">
        <v>37</v>
      </c>
      <c r="AH51" s="3" t="s">
        <v>291</v>
      </c>
      <c r="AI51" s="3" t="s">
        <v>837</v>
      </c>
      <c r="AJ51" s="3" t="s">
        <v>821</v>
      </c>
      <c r="AK51" s="101">
        <f>IFERROR(VLOOKUP('PositionPlayer Data'!B51,'CLE Salary 2024'!A21:I53,8,FALSE),"No salary data")</f>
        <v>103062</v>
      </c>
      <c r="AL51" s="13">
        <f t="shared" si="0"/>
        <v>-1030620</v>
      </c>
      <c r="AM51" s="13">
        <f t="shared" si="1"/>
        <v>-1030.6199999999999</v>
      </c>
    </row>
    <row r="52" spans="1:39" x14ac:dyDescent="0.25">
      <c r="A52" s="80">
        <v>1</v>
      </c>
      <c r="B52" s="80" t="s">
        <v>353</v>
      </c>
      <c r="C52" s="80">
        <v>29</v>
      </c>
      <c r="D52" s="80" t="s">
        <v>35</v>
      </c>
      <c r="E52" s="80">
        <v>1</v>
      </c>
      <c r="F52" s="80">
        <v>102</v>
      </c>
      <c r="G52" s="80">
        <v>337</v>
      </c>
      <c r="H52" s="80">
        <v>310</v>
      </c>
      <c r="I52" s="80">
        <v>43</v>
      </c>
      <c r="J52" s="80">
        <v>61</v>
      </c>
      <c r="K52" s="80">
        <v>16</v>
      </c>
      <c r="L52" s="80">
        <v>1</v>
      </c>
      <c r="M52" s="80">
        <v>10</v>
      </c>
      <c r="N52" s="80">
        <v>36</v>
      </c>
      <c r="O52" s="80">
        <v>1</v>
      </c>
      <c r="P52" s="80">
        <v>0</v>
      </c>
      <c r="Q52" s="80">
        <v>22</v>
      </c>
      <c r="R52" s="80">
        <v>99</v>
      </c>
      <c r="S52" s="80">
        <v>0.19700000000000001</v>
      </c>
      <c r="T52" s="122">
        <v>0.255</v>
      </c>
      <c r="U52" s="80">
        <v>0.35199999999999998</v>
      </c>
      <c r="V52" s="80">
        <v>0.60699999999999998</v>
      </c>
      <c r="W52" s="80">
        <v>71</v>
      </c>
      <c r="X52" s="80">
        <v>0.27</v>
      </c>
      <c r="Y52" s="80">
        <v>69</v>
      </c>
      <c r="Z52" s="80">
        <v>109</v>
      </c>
      <c r="AA52" s="80">
        <v>6</v>
      </c>
      <c r="AB52" s="80">
        <v>3</v>
      </c>
      <c r="AC52" s="80">
        <v>0</v>
      </c>
      <c r="AD52" s="80">
        <v>2</v>
      </c>
      <c r="AE52" s="80">
        <v>1</v>
      </c>
      <c r="AF52" s="80" t="s">
        <v>228</v>
      </c>
      <c r="AG52" s="80" t="s">
        <v>37</v>
      </c>
      <c r="AH52" s="80" t="s">
        <v>354</v>
      </c>
      <c r="AI52" s="80" t="s">
        <v>837</v>
      </c>
      <c r="AJ52" s="80" t="s">
        <v>822</v>
      </c>
      <c r="AK52" s="82">
        <f>IFERROR(VLOOKUP(B52,'DET Salary 2024'!A1:I35,8,FALSE), "No salary data")</f>
        <v>1700000</v>
      </c>
      <c r="AL52" s="13">
        <f t="shared" si="0"/>
        <v>1700000</v>
      </c>
      <c r="AM52" s="13">
        <f t="shared" si="1"/>
        <v>23943.661971830985</v>
      </c>
    </row>
    <row r="53" spans="1:39" x14ac:dyDescent="0.25">
      <c r="A53" s="7">
        <v>2</v>
      </c>
      <c r="B53" s="7" t="s">
        <v>355</v>
      </c>
      <c r="C53" s="7">
        <v>24</v>
      </c>
      <c r="D53" s="7" t="s">
        <v>40</v>
      </c>
      <c r="E53" s="7">
        <v>0.3</v>
      </c>
      <c r="F53" s="7">
        <v>92</v>
      </c>
      <c r="G53" s="7">
        <v>381</v>
      </c>
      <c r="H53" s="7">
        <v>342</v>
      </c>
      <c r="I53" s="7">
        <v>45</v>
      </c>
      <c r="J53" s="7">
        <v>75</v>
      </c>
      <c r="K53" s="7">
        <v>21</v>
      </c>
      <c r="L53" s="7">
        <v>1</v>
      </c>
      <c r="M53" s="7">
        <v>10</v>
      </c>
      <c r="N53" s="7">
        <v>37</v>
      </c>
      <c r="O53" s="7">
        <v>0</v>
      </c>
      <c r="P53" s="7">
        <v>0</v>
      </c>
      <c r="Q53" s="7">
        <v>33</v>
      </c>
      <c r="R53" s="7">
        <v>105</v>
      </c>
      <c r="S53" s="7">
        <v>0.219</v>
      </c>
      <c r="T53" s="7">
        <v>0.29499999999999998</v>
      </c>
      <c r="U53" s="7">
        <v>0.374</v>
      </c>
      <c r="V53" s="7">
        <v>0.66900000000000004</v>
      </c>
      <c r="W53" s="7">
        <v>89</v>
      </c>
      <c r="X53" s="7">
        <v>0.29299999999999998</v>
      </c>
      <c r="Y53" s="7">
        <v>86</v>
      </c>
      <c r="Z53" s="7">
        <v>128</v>
      </c>
      <c r="AA53" s="7">
        <v>6</v>
      </c>
      <c r="AB53" s="7">
        <v>4</v>
      </c>
      <c r="AC53" s="7">
        <v>0</v>
      </c>
      <c r="AD53" s="7">
        <v>1</v>
      </c>
      <c r="AE53" s="7">
        <v>0</v>
      </c>
      <c r="AF53" s="7" t="s">
        <v>356</v>
      </c>
      <c r="AG53" s="7" t="s">
        <v>37</v>
      </c>
      <c r="AH53" s="7" t="s">
        <v>357</v>
      </c>
      <c r="AI53" s="7" t="s">
        <v>837</v>
      </c>
      <c r="AJ53" s="7" t="s">
        <v>822</v>
      </c>
      <c r="AK53" s="82">
        <f>IFERROR(VLOOKUP(B53,'DET Salary 2024'!A2:I36,8,FALSE), "No salary data")</f>
        <v>456987</v>
      </c>
      <c r="AL53" s="13">
        <f t="shared" si="0"/>
        <v>1523290</v>
      </c>
      <c r="AM53" s="13">
        <f t="shared" si="1"/>
        <v>5134.6853932584272</v>
      </c>
    </row>
    <row r="54" spans="1:39" x14ac:dyDescent="0.25">
      <c r="A54" s="6">
        <v>3</v>
      </c>
      <c r="B54" s="6" t="s">
        <v>358</v>
      </c>
      <c r="C54" s="6">
        <v>22</v>
      </c>
      <c r="D54" s="6" t="s">
        <v>10</v>
      </c>
      <c r="E54" s="6">
        <v>1.1000000000000001</v>
      </c>
      <c r="F54" s="6">
        <v>148</v>
      </c>
      <c r="G54" s="6">
        <v>556</v>
      </c>
      <c r="H54" s="6">
        <v>516</v>
      </c>
      <c r="I54" s="6">
        <v>54</v>
      </c>
      <c r="J54" s="6">
        <v>134</v>
      </c>
      <c r="K54" s="6">
        <v>15</v>
      </c>
      <c r="L54" s="6">
        <v>4</v>
      </c>
      <c r="M54" s="6">
        <v>13</v>
      </c>
      <c r="N54" s="6">
        <v>61</v>
      </c>
      <c r="O54" s="6">
        <v>7</v>
      </c>
      <c r="P54" s="6">
        <v>1</v>
      </c>
      <c r="Q54" s="6">
        <v>36</v>
      </c>
      <c r="R54" s="6">
        <v>110</v>
      </c>
      <c r="S54" s="6">
        <v>0.26</v>
      </c>
      <c r="T54" s="7">
        <v>0.309</v>
      </c>
      <c r="U54" s="6">
        <v>0.38</v>
      </c>
      <c r="V54" s="6">
        <v>0.68899999999999995</v>
      </c>
      <c r="W54" s="6">
        <v>96</v>
      </c>
      <c r="X54" s="6">
        <v>0.308</v>
      </c>
      <c r="Y54" s="6">
        <v>95</v>
      </c>
      <c r="Z54" s="6">
        <v>196</v>
      </c>
      <c r="AA54" s="6">
        <v>4</v>
      </c>
      <c r="AB54" s="6">
        <v>2</v>
      </c>
      <c r="AC54" s="6">
        <v>0</v>
      </c>
      <c r="AD54" s="6">
        <v>2</v>
      </c>
      <c r="AE54" s="6">
        <v>2</v>
      </c>
      <c r="AF54" s="6" t="s">
        <v>359</v>
      </c>
      <c r="AG54" s="6" t="s">
        <v>37</v>
      </c>
      <c r="AH54" s="6" t="s">
        <v>360</v>
      </c>
      <c r="AI54" s="6" t="s">
        <v>837</v>
      </c>
      <c r="AJ54" s="6" t="s">
        <v>822</v>
      </c>
      <c r="AK54" s="82">
        <f>IFERROR(VLOOKUP(B54,'DET Salary 2024'!A3:I37,8,FALSE), "No salary data")</f>
        <v>2833333</v>
      </c>
      <c r="AL54" s="13">
        <f t="shared" si="0"/>
        <v>2575757.2727272725</v>
      </c>
      <c r="AM54" s="13">
        <f t="shared" si="1"/>
        <v>29513.885416666668</v>
      </c>
    </row>
    <row r="55" spans="1:39" x14ac:dyDescent="0.25">
      <c r="A55" s="7">
        <v>4</v>
      </c>
      <c r="B55" s="7" t="s">
        <v>361</v>
      </c>
      <c r="C55" s="7">
        <v>31</v>
      </c>
      <c r="D55" s="7" t="s">
        <v>47</v>
      </c>
      <c r="E55" s="7">
        <v>-1.1000000000000001</v>
      </c>
      <c r="F55" s="7">
        <v>80</v>
      </c>
      <c r="G55" s="7">
        <v>289</v>
      </c>
      <c r="H55" s="7">
        <v>272</v>
      </c>
      <c r="I55" s="7">
        <v>25</v>
      </c>
      <c r="J55" s="7">
        <v>50</v>
      </c>
      <c r="K55" s="7">
        <v>12</v>
      </c>
      <c r="L55" s="7">
        <v>0</v>
      </c>
      <c r="M55" s="7">
        <v>6</v>
      </c>
      <c r="N55" s="7">
        <v>37</v>
      </c>
      <c r="O55" s="7">
        <v>8</v>
      </c>
      <c r="P55" s="7">
        <v>1</v>
      </c>
      <c r="Q55" s="7">
        <v>12</v>
      </c>
      <c r="R55" s="7">
        <v>69</v>
      </c>
      <c r="S55" s="7">
        <v>0.184</v>
      </c>
      <c r="T55" s="7">
        <v>0.221</v>
      </c>
      <c r="U55" s="7">
        <v>0.29399999999999998</v>
      </c>
      <c r="V55" s="7">
        <v>0.51600000000000001</v>
      </c>
      <c r="W55" s="7">
        <v>46</v>
      </c>
      <c r="X55" s="7">
        <v>0.23599999999999999</v>
      </c>
      <c r="Y55" s="7">
        <v>41</v>
      </c>
      <c r="Z55" s="7">
        <v>80</v>
      </c>
      <c r="AA55" s="7">
        <v>10</v>
      </c>
      <c r="AB55" s="7">
        <v>2</v>
      </c>
      <c r="AC55" s="7">
        <v>0</v>
      </c>
      <c r="AD55" s="7">
        <v>3</v>
      </c>
      <c r="AE55" s="7">
        <v>1</v>
      </c>
      <c r="AF55" s="7" t="s">
        <v>362</v>
      </c>
      <c r="AG55" s="7" t="s">
        <v>37</v>
      </c>
      <c r="AH55" s="7" t="s">
        <v>363</v>
      </c>
      <c r="AI55" s="7" t="s">
        <v>837</v>
      </c>
      <c r="AJ55" s="7" t="s">
        <v>822</v>
      </c>
      <c r="AK55" s="82">
        <f>IFERROR(VLOOKUP(B55,'DET Salary 2024'!A4:I38,8,FALSE), "No salary data")</f>
        <v>25000000</v>
      </c>
      <c r="AL55" s="13">
        <f t="shared" si="0"/>
        <v>-22727272.727272727</v>
      </c>
      <c r="AM55" s="13">
        <f t="shared" si="1"/>
        <v>543478.26086956519</v>
      </c>
    </row>
    <row r="56" spans="1:39" hidden="1" x14ac:dyDescent="0.25">
      <c r="A56" s="6">
        <v>5</v>
      </c>
      <c r="B56" s="6" t="s">
        <v>364</v>
      </c>
      <c r="C56" s="6">
        <v>32</v>
      </c>
      <c r="D56" s="6" t="s">
        <v>11</v>
      </c>
      <c r="E56" s="6">
        <v>-0.3</v>
      </c>
      <c r="F56" s="6">
        <v>92</v>
      </c>
      <c r="G56" s="6">
        <v>325</v>
      </c>
      <c r="H56" s="6">
        <v>300</v>
      </c>
      <c r="I56" s="6">
        <v>25</v>
      </c>
      <c r="J56" s="6">
        <v>73</v>
      </c>
      <c r="K56" s="6">
        <v>10</v>
      </c>
      <c r="L56" s="6">
        <v>1</v>
      </c>
      <c r="M56" s="6">
        <v>5</v>
      </c>
      <c r="N56" s="6">
        <v>37</v>
      </c>
      <c r="O56" s="6">
        <v>0</v>
      </c>
      <c r="P56" s="6">
        <v>0</v>
      </c>
      <c r="Q56" s="6">
        <v>19</v>
      </c>
      <c r="R56" s="6">
        <v>49</v>
      </c>
      <c r="S56" s="6">
        <v>0.24299999999999999</v>
      </c>
      <c r="T56" s="6">
        <v>0.28599999999999998</v>
      </c>
      <c r="U56" s="6">
        <v>0.33300000000000002</v>
      </c>
      <c r="V56" s="6">
        <v>0.61899999999999999</v>
      </c>
      <c r="W56" s="6">
        <v>76</v>
      </c>
      <c r="X56" s="6">
        <v>0.28399999999999997</v>
      </c>
      <c r="Y56" s="6">
        <v>79</v>
      </c>
      <c r="Z56" s="6">
        <v>100</v>
      </c>
      <c r="AA56" s="6">
        <v>12</v>
      </c>
      <c r="AB56" s="6">
        <v>1</v>
      </c>
      <c r="AC56" s="6">
        <v>0</v>
      </c>
      <c r="AD56" s="6">
        <v>5</v>
      </c>
      <c r="AE56" s="6">
        <v>1</v>
      </c>
      <c r="AF56" s="6" t="s">
        <v>365</v>
      </c>
      <c r="AG56" s="6" t="s">
        <v>37</v>
      </c>
      <c r="AH56" s="6" t="s">
        <v>366</v>
      </c>
      <c r="AI56" s="6" t="s">
        <v>837</v>
      </c>
      <c r="AJ56" s="6" t="s">
        <v>822</v>
      </c>
      <c r="AK56" s="82" t="str">
        <f>IFERROR(VLOOKUP(B56,'DET Salary 2024'!A5:I39,8,FALSE), "No salary data")</f>
        <v>No salary data</v>
      </c>
      <c r="AL56" s="125" t="e">
        <f t="shared" si="0"/>
        <v>#VALUE!</v>
      </c>
      <c r="AM56" s="13" t="e">
        <f t="shared" si="1"/>
        <v>#VALUE!</v>
      </c>
    </row>
    <row r="57" spans="1:39" x14ac:dyDescent="0.25">
      <c r="A57" s="7">
        <v>6</v>
      </c>
      <c r="B57" s="7" t="s">
        <v>367</v>
      </c>
      <c r="C57" s="7">
        <v>23</v>
      </c>
      <c r="D57" s="7" t="s">
        <v>54</v>
      </c>
      <c r="E57" s="7">
        <v>5.4</v>
      </c>
      <c r="F57" s="7">
        <v>137</v>
      </c>
      <c r="G57" s="7">
        <v>584</v>
      </c>
      <c r="H57" s="7">
        <v>512</v>
      </c>
      <c r="I57" s="7">
        <v>82</v>
      </c>
      <c r="J57" s="7">
        <v>134</v>
      </c>
      <c r="K57" s="7">
        <v>27</v>
      </c>
      <c r="L57" s="7">
        <v>6</v>
      </c>
      <c r="M57" s="7">
        <v>24</v>
      </c>
      <c r="N57" s="7">
        <v>74</v>
      </c>
      <c r="O57" s="7">
        <v>4</v>
      </c>
      <c r="P57" s="7">
        <v>2</v>
      </c>
      <c r="Q57" s="7">
        <v>64</v>
      </c>
      <c r="R57" s="7">
        <v>156</v>
      </c>
      <c r="S57" s="7">
        <v>0.26200000000000001</v>
      </c>
      <c r="T57" s="7">
        <v>0.34799999999999998</v>
      </c>
      <c r="U57" s="7">
        <v>0.47899999999999998</v>
      </c>
      <c r="V57" s="7">
        <v>0.82699999999999996</v>
      </c>
      <c r="W57" s="7">
        <v>133</v>
      </c>
      <c r="X57" s="7">
        <v>0.35799999999999998</v>
      </c>
      <c r="Y57" s="7">
        <v>133</v>
      </c>
      <c r="Z57" s="7">
        <v>245</v>
      </c>
      <c r="AA57" s="7">
        <v>2</v>
      </c>
      <c r="AB57" s="7">
        <v>5</v>
      </c>
      <c r="AC57" s="7">
        <v>0</v>
      </c>
      <c r="AD57" s="7">
        <v>2</v>
      </c>
      <c r="AE57" s="7">
        <v>3</v>
      </c>
      <c r="AF57" s="7" t="s">
        <v>368</v>
      </c>
      <c r="AG57" s="7" t="s">
        <v>163</v>
      </c>
      <c r="AH57" s="7" t="s">
        <v>369</v>
      </c>
      <c r="AI57" s="7" t="s">
        <v>837</v>
      </c>
      <c r="AJ57" s="7" t="s">
        <v>822</v>
      </c>
      <c r="AK57" s="82">
        <f>IFERROR(VLOOKUP(B57,'DET Salary 2024'!A6:I40,8,FALSE), "No salary data")</f>
        <v>766300</v>
      </c>
      <c r="AL57" s="13">
        <f t="shared" si="0"/>
        <v>141907.40740740739</v>
      </c>
      <c r="AM57" s="13">
        <f t="shared" si="1"/>
        <v>5761.6541353383454</v>
      </c>
    </row>
    <row r="58" spans="1:39" x14ac:dyDescent="0.25">
      <c r="A58" s="6">
        <v>7</v>
      </c>
      <c r="B58" s="6" t="s">
        <v>370</v>
      </c>
      <c r="C58" s="6">
        <v>24</v>
      </c>
      <c r="D58" s="6" t="s">
        <v>58</v>
      </c>
      <c r="E58" s="6">
        <v>2.2000000000000002</v>
      </c>
      <c r="F58" s="6">
        <v>82</v>
      </c>
      <c r="G58" s="6">
        <v>298</v>
      </c>
      <c r="H58" s="6">
        <v>270</v>
      </c>
      <c r="I58" s="6">
        <v>39</v>
      </c>
      <c r="J58" s="6">
        <v>66</v>
      </c>
      <c r="K58" s="6">
        <v>12</v>
      </c>
      <c r="L58" s="6">
        <v>6</v>
      </c>
      <c r="M58" s="6">
        <v>9</v>
      </c>
      <c r="N58" s="6">
        <v>28</v>
      </c>
      <c r="O58" s="6">
        <v>9</v>
      </c>
      <c r="P58" s="6">
        <v>4</v>
      </c>
      <c r="Q58" s="6">
        <v>25</v>
      </c>
      <c r="R58" s="6">
        <v>76</v>
      </c>
      <c r="S58" s="6">
        <v>0.24399999999999999</v>
      </c>
      <c r="T58" s="7">
        <v>0.31</v>
      </c>
      <c r="U58" s="6">
        <v>0.433</v>
      </c>
      <c r="V58" s="6">
        <v>0.74299999999999999</v>
      </c>
      <c r="W58" s="6">
        <v>109</v>
      </c>
      <c r="X58" s="6">
        <v>0.32400000000000001</v>
      </c>
      <c r="Y58" s="6">
        <v>108</v>
      </c>
      <c r="Z58" s="6">
        <v>117</v>
      </c>
      <c r="AA58" s="6">
        <v>0</v>
      </c>
      <c r="AB58" s="6">
        <v>1</v>
      </c>
      <c r="AC58" s="6">
        <v>1</v>
      </c>
      <c r="AD58" s="6">
        <v>1</v>
      </c>
      <c r="AE58" s="6">
        <v>0</v>
      </c>
      <c r="AF58" s="6" t="s">
        <v>371</v>
      </c>
      <c r="AG58" s="6" t="s">
        <v>37</v>
      </c>
      <c r="AH58" s="6" t="s">
        <v>372</v>
      </c>
      <c r="AI58" s="6" t="s">
        <v>837</v>
      </c>
      <c r="AJ58" s="6" t="s">
        <v>822</v>
      </c>
      <c r="AK58" s="82">
        <f>IFERROR(VLOOKUP(B58,'DET Salary 2024'!A7:I41,8,FALSE), "No salary data")</f>
        <v>506016</v>
      </c>
      <c r="AL58" s="13">
        <f t="shared" si="0"/>
        <v>230007.27272727271</v>
      </c>
      <c r="AM58" s="13">
        <f t="shared" si="1"/>
        <v>4642.3486238532114</v>
      </c>
    </row>
    <row r="59" spans="1:39" hidden="1" x14ac:dyDescent="0.25">
      <c r="A59" s="7">
        <v>8</v>
      </c>
      <c r="B59" s="7" t="s">
        <v>373</v>
      </c>
      <c r="C59" s="7">
        <v>24</v>
      </c>
      <c r="D59" s="7" t="s">
        <v>62</v>
      </c>
      <c r="E59" s="7">
        <v>0.7</v>
      </c>
      <c r="F59" s="7">
        <v>112</v>
      </c>
      <c r="G59" s="7">
        <v>425</v>
      </c>
      <c r="H59" s="7">
        <v>389</v>
      </c>
      <c r="I59" s="7">
        <v>51</v>
      </c>
      <c r="J59" s="7">
        <v>94</v>
      </c>
      <c r="K59" s="7">
        <v>16</v>
      </c>
      <c r="L59" s="7">
        <v>6</v>
      </c>
      <c r="M59" s="7">
        <v>9</v>
      </c>
      <c r="N59" s="7">
        <v>37</v>
      </c>
      <c r="O59" s="7">
        <v>9</v>
      </c>
      <c r="P59" s="7">
        <v>5</v>
      </c>
      <c r="Q59" s="7">
        <v>32</v>
      </c>
      <c r="R59" s="7">
        <v>92</v>
      </c>
      <c r="S59" s="7">
        <v>0.24199999999999999</v>
      </c>
      <c r="T59" s="7">
        <v>0.3</v>
      </c>
      <c r="U59" s="7">
        <v>0.38300000000000001</v>
      </c>
      <c r="V59" s="7">
        <v>0.68300000000000005</v>
      </c>
      <c r="W59" s="7">
        <v>93</v>
      </c>
      <c r="X59" s="7">
        <v>0.30199999999999999</v>
      </c>
      <c r="Y59" s="7">
        <v>93</v>
      </c>
      <c r="Z59" s="7">
        <v>149</v>
      </c>
      <c r="AA59" s="7">
        <v>5</v>
      </c>
      <c r="AB59" s="7">
        <v>1</v>
      </c>
      <c r="AC59" s="7">
        <v>2</v>
      </c>
      <c r="AD59" s="7">
        <v>1</v>
      </c>
      <c r="AE59" s="7">
        <v>0</v>
      </c>
      <c r="AF59" s="7" t="s">
        <v>374</v>
      </c>
      <c r="AG59" s="7" t="s">
        <v>37</v>
      </c>
      <c r="AH59" s="7" t="s">
        <v>375</v>
      </c>
      <c r="AI59" s="7" t="s">
        <v>837</v>
      </c>
      <c r="AJ59" s="7" t="s">
        <v>822</v>
      </c>
      <c r="AK59" s="82" t="str">
        <f>IFERROR(VLOOKUP(B59,'DET Salary 2024'!A8:I42,8,FALSE), "No salary data")</f>
        <v>No salary data</v>
      </c>
      <c r="AL59" s="125" t="e">
        <f t="shared" si="0"/>
        <v>#VALUE!</v>
      </c>
      <c r="AM59" s="13" t="e">
        <f t="shared" si="1"/>
        <v>#VALUE!</v>
      </c>
    </row>
    <row r="60" spans="1:39" x14ac:dyDescent="0.25">
      <c r="A60" s="6">
        <v>9</v>
      </c>
      <c r="B60" s="6" t="s">
        <v>376</v>
      </c>
      <c r="C60" s="6">
        <v>24</v>
      </c>
      <c r="D60" s="6" t="s">
        <v>66</v>
      </c>
      <c r="E60" s="6">
        <v>-0.4</v>
      </c>
      <c r="F60" s="6">
        <v>71</v>
      </c>
      <c r="G60" s="6">
        <v>230</v>
      </c>
      <c r="H60" s="6">
        <v>202</v>
      </c>
      <c r="I60" s="6">
        <v>18</v>
      </c>
      <c r="J60" s="6">
        <v>41</v>
      </c>
      <c r="K60" s="6">
        <v>7</v>
      </c>
      <c r="L60" s="6">
        <v>1</v>
      </c>
      <c r="M60" s="6">
        <v>8</v>
      </c>
      <c r="N60" s="6">
        <v>21</v>
      </c>
      <c r="O60" s="6">
        <v>1</v>
      </c>
      <c r="P60" s="6">
        <v>1</v>
      </c>
      <c r="Q60" s="6">
        <v>23</v>
      </c>
      <c r="R60" s="6">
        <v>85</v>
      </c>
      <c r="S60" s="6">
        <v>0.20300000000000001</v>
      </c>
      <c r="T60" s="7">
        <v>0.29099999999999998</v>
      </c>
      <c r="U60" s="6">
        <v>0.36599999999999999</v>
      </c>
      <c r="V60" s="6">
        <v>0.65800000000000003</v>
      </c>
      <c r="W60" s="6">
        <v>86</v>
      </c>
      <c r="X60" s="6">
        <v>0.28899999999999998</v>
      </c>
      <c r="Y60" s="6">
        <v>84</v>
      </c>
      <c r="Z60" s="6">
        <v>74</v>
      </c>
      <c r="AA60" s="6">
        <v>2</v>
      </c>
      <c r="AB60" s="6">
        <v>3</v>
      </c>
      <c r="AC60" s="6">
        <v>0</v>
      </c>
      <c r="AD60" s="6">
        <v>2</v>
      </c>
      <c r="AE60" s="6">
        <v>0</v>
      </c>
      <c r="AF60" s="6" t="s">
        <v>377</v>
      </c>
      <c r="AG60" s="6" t="s">
        <v>37</v>
      </c>
      <c r="AH60" s="6" t="s">
        <v>378</v>
      </c>
      <c r="AI60" s="6" t="s">
        <v>837</v>
      </c>
      <c r="AJ60" s="6" t="s">
        <v>822</v>
      </c>
      <c r="AK60" s="82">
        <f>IFERROR(VLOOKUP(B60,'DET Salary 2024'!A9:I43,8,FALSE), "No salary data")</f>
        <v>306306</v>
      </c>
      <c r="AL60" s="13">
        <f t="shared" si="0"/>
        <v>-765765</v>
      </c>
      <c r="AM60" s="13">
        <f t="shared" si="1"/>
        <v>3561.6976744186045</v>
      </c>
    </row>
    <row r="61" spans="1:39" x14ac:dyDescent="0.25">
      <c r="A61" s="7">
        <v>10</v>
      </c>
      <c r="B61" s="7" t="s">
        <v>379</v>
      </c>
      <c r="C61" s="7">
        <v>27</v>
      </c>
      <c r="D61" s="7" t="s">
        <v>70</v>
      </c>
      <c r="E61" s="7">
        <v>3</v>
      </c>
      <c r="F61" s="7">
        <v>144</v>
      </c>
      <c r="G61" s="7">
        <v>567</v>
      </c>
      <c r="H61" s="7">
        <v>518</v>
      </c>
      <c r="I61" s="7">
        <v>80</v>
      </c>
      <c r="J61" s="7">
        <v>133</v>
      </c>
      <c r="K61" s="7">
        <v>28</v>
      </c>
      <c r="L61" s="7">
        <v>5</v>
      </c>
      <c r="M61" s="7">
        <v>16</v>
      </c>
      <c r="N61" s="7">
        <v>57</v>
      </c>
      <c r="O61" s="7">
        <v>6</v>
      </c>
      <c r="P61" s="7">
        <v>1</v>
      </c>
      <c r="Q61" s="7">
        <v>41</v>
      </c>
      <c r="R61" s="7">
        <v>121</v>
      </c>
      <c r="S61" s="7">
        <v>0.25700000000000001</v>
      </c>
      <c r="T61" s="7">
        <v>0.312</v>
      </c>
      <c r="U61" s="7">
        <v>0.42299999999999999</v>
      </c>
      <c r="V61" s="7">
        <v>0.73499999999999999</v>
      </c>
      <c r="W61" s="7">
        <v>107</v>
      </c>
      <c r="X61" s="7">
        <v>0.32300000000000001</v>
      </c>
      <c r="Y61" s="7">
        <v>106</v>
      </c>
      <c r="Z61" s="7">
        <v>219</v>
      </c>
      <c r="AA61" s="7">
        <v>9</v>
      </c>
      <c r="AB61" s="7">
        <v>3</v>
      </c>
      <c r="AC61" s="7">
        <v>0</v>
      </c>
      <c r="AD61" s="7">
        <v>5</v>
      </c>
      <c r="AE61" s="7">
        <v>1</v>
      </c>
      <c r="AF61" s="7" t="s">
        <v>380</v>
      </c>
      <c r="AG61" s="7" t="s">
        <v>37</v>
      </c>
      <c r="AH61" s="7" t="s">
        <v>381</v>
      </c>
      <c r="AI61" s="7" t="s">
        <v>837</v>
      </c>
      <c r="AJ61" s="7" t="s">
        <v>822</v>
      </c>
      <c r="AK61" s="82">
        <f>IFERROR(VLOOKUP(B61,'DET Salary 2024'!A10:I44,8,FALSE), "No salary data")</f>
        <v>766000</v>
      </c>
      <c r="AL61" s="13">
        <f t="shared" si="0"/>
        <v>255333.33333333334</v>
      </c>
      <c r="AM61" s="13">
        <f t="shared" si="1"/>
        <v>7158.8785046728972</v>
      </c>
    </row>
    <row r="62" spans="1:39" hidden="1" x14ac:dyDescent="0.25">
      <c r="A62" s="6">
        <v>11</v>
      </c>
      <c r="B62" s="6" t="s">
        <v>382</v>
      </c>
      <c r="C62" s="6">
        <v>35</v>
      </c>
      <c r="D62" s="6" t="s">
        <v>70</v>
      </c>
      <c r="E62" s="6">
        <v>0.6</v>
      </c>
      <c r="F62" s="6">
        <v>93</v>
      </c>
      <c r="G62" s="6">
        <v>377</v>
      </c>
      <c r="H62" s="6">
        <v>320</v>
      </c>
      <c r="I62" s="6">
        <v>42</v>
      </c>
      <c r="J62" s="6">
        <v>74</v>
      </c>
      <c r="K62" s="6">
        <v>17</v>
      </c>
      <c r="L62" s="6">
        <v>0</v>
      </c>
      <c r="M62" s="6">
        <v>7</v>
      </c>
      <c r="N62" s="6">
        <v>38</v>
      </c>
      <c r="O62" s="6">
        <v>4</v>
      </c>
      <c r="P62" s="6">
        <v>0</v>
      </c>
      <c r="Q62" s="6">
        <v>42</v>
      </c>
      <c r="R62" s="6">
        <v>79</v>
      </c>
      <c r="S62" s="6">
        <v>0.23100000000000001</v>
      </c>
      <c r="T62" s="6">
        <v>0.33700000000000002</v>
      </c>
      <c r="U62" s="6">
        <v>0.35</v>
      </c>
      <c r="V62" s="6">
        <v>0.68700000000000006</v>
      </c>
      <c r="W62" s="6">
        <v>97</v>
      </c>
      <c r="X62" s="6">
        <v>0.32</v>
      </c>
      <c r="Y62" s="6">
        <v>103</v>
      </c>
      <c r="Z62" s="6">
        <v>112</v>
      </c>
      <c r="AA62" s="6">
        <v>9</v>
      </c>
      <c r="AB62" s="6">
        <v>11</v>
      </c>
      <c r="AC62" s="6">
        <v>0</v>
      </c>
      <c r="AD62" s="6">
        <v>4</v>
      </c>
      <c r="AE62" s="6">
        <v>2</v>
      </c>
      <c r="AF62" s="6" t="s">
        <v>383</v>
      </c>
      <c r="AG62" s="6" t="s">
        <v>37</v>
      </c>
      <c r="AH62" s="6" t="s">
        <v>384</v>
      </c>
      <c r="AI62" s="6" t="s">
        <v>837</v>
      </c>
      <c r="AJ62" s="6" t="s">
        <v>822</v>
      </c>
      <c r="AK62" s="82" t="str">
        <f>IFERROR(VLOOKUP(B62,'DET Salary 2024'!A11:I45,8,FALSE), "No salary data")</f>
        <v>No salary data</v>
      </c>
      <c r="AL62" s="125" t="e">
        <f t="shared" si="0"/>
        <v>#VALUE!</v>
      </c>
      <c r="AM62" s="13" t="e">
        <f t="shared" si="1"/>
        <v>#VALUE!</v>
      </c>
    </row>
    <row r="63" spans="1:39" hidden="1" x14ac:dyDescent="0.25">
      <c r="A63" s="7">
        <v>12</v>
      </c>
      <c r="B63" s="7" t="s">
        <v>385</v>
      </c>
      <c r="C63" s="7">
        <v>29</v>
      </c>
      <c r="D63" s="7" t="s">
        <v>108</v>
      </c>
      <c r="E63" s="7">
        <v>0.8</v>
      </c>
      <c r="F63" s="7">
        <v>118</v>
      </c>
      <c r="G63" s="7">
        <v>325</v>
      </c>
      <c r="H63" s="7">
        <v>297</v>
      </c>
      <c r="I63" s="7">
        <v>32</v>
      </c>
      <c r="J63" s="7">
        <v>64</v>
      </c>
      <c r="K63" s="7">
        <v>14</v>
      </c>
      <c r="L63" s="7">
        <v>5</v>
      </c>
      <c r="M63" s="7">
        <v>4</v>
      </c>
      <c r="N63" s="7">
        <v>23</v>
      </c>
      <c r="O63" s="7">
        <v>16</v>
      </c>
      <c r="P63" s="7">
        <v>0</v>
      </c>
      <c r="Q63" s="7">
        <v>24</v>
      </c>
      <c r="R63" s="7">
        <v>69</v>
      </c>
      <c r="S63" s="7">
        <v>0.215</v>
      </c>
      <c r="T63" s="7">
        <v>0.27700000000000002</v>
      </c>
      <c r="U63" s="7">
        <v>0.33700000000000002</v>
      </c>
      <c r="V63" s="7">
        <v>0.61399999999999999</v>
      </c>
      <c r="W63" s="7">
        <v>74</v>
      </c>
      <c r="X63" s="7">
        <v>0.28799999999999998</v>
      </c>
      <c r="Y63" s="7">
        <v>74</v>
      </c>
      <c r="Z63" s="7">
        <v>100</v>
      </c>
      <c r="AA63" s="7">
        <v>3</v>
      </c>
      <c r="AB63" s="7">
        <v>2</v>
      </c>
      <c r="AC63" s="7">
        <v>0</v>
      </c>
      <c r="AD63" s="7">
        <v>2</v>
      </c>
      <c r="AE63" s="7">
        <v>0</v>
      </c>
      <c r="AF63" s="7" t="s">
        <v>386</v>
      </c>
      <c r="AG63" s="7" t="s">
        <v>37</v>
      </c>
      <c r="AH63" s="7" t="s">
        <v>387</v>
      </c>
      <c r="AI63" s="7" t="s">
        <v>837</v>
      </c>
      <c r="AJ63" s="7" t="s">
        <v>822</v>
      </c>
      <c r="AK63" s="82" t="str">
        <f>IFERROR(VLOOKUP(B63,'DET Salary 2024'!A12:I46,8,FALSE), "No salary data")</f>
        <v>No salary data</v>
      </c>
      <c r="AL63" s="125" t="e">
        <f t="shared" si="0"/>
        <v>#VALUE!</v>
      </c>
      <c r="AM63" s="13" t="e">
        <f t="shared" si="1"/>
        <v>#VALUE!</v>
      </c>
    </row>
    <row r="64" spans="1:39" hidden="1" x14ac:dyDescent="0.25">
      <c r="A64" s="6">
        <v>13</v>
      </c>
      <c r="B64" s="6" t="s">
        <v>388</v>
      </c>
      <c r="C64" s="6">
        <v>26</v>
      </c>
      <c r="D64" s="6" t="s">
        <v>66</v>
      </c>
      <c r="E64" s="6">
        <v>2.2000000000000002</v>
      </c>
      <c r="F64" s="6">
        <v>87</v>
      </c>
      <c r="G64" s="6">
        <v>296</v>
      </c>
      <c r="H64" s="6">
        <v>264</v>
      </c>
      <c r="I64" s="6">
        <v>37</v>
      </c>
      <c r="J64" s="6">
        <v>75</v>
      </c>
      <c r="K64" s="6">
        <v>16</v>
      </c>
      <c r="L64" s="6">
        <v>5</v>
      </c>
      <c r="M64" s="6">
        <v>18</v>
      </c>
      <c r="N64" s="6">
        <v>57</v>
      </c>
      <c r="O64" s="6">
        <v>0</v>
      </c>
      <c r="P64" s="6">
        <v>2</v>
      </c>
      <c r="Q64" s="6">
        <v>22</v>
      </c>
      <c r="R64" s="6">
        <v>75</v>
      </c>
      <c r="S64" s="6">
        <v>0.28399999999999997</v>
      </c>
      <c r="T64" s="6">
        <v>0.34499999999999997</v>
      </c>
      <c r="U64" s="6">
        <v>0.58699999999999997</v>
      </c>
      <c r="V64" s="6">
        <v>0.93200000000000005</v>
      </c>
      <c r="W64" s="6">
        <v>159</v>
      </c>
      <c r="X64" s="6">
        <v>0.38600000000000001</v>
      </c>
      <c r="Y64" s="6">
        <v>156</v>
      </c>
      <c r="Z64" s="6">
        <v>155</v>
      </c>
      <c r="AA64" s="6">
        <v>5</v>
      </c>
      <c r="AB64" s="6">
        <v>4</v>
      </c>
      <c r="AC64" s="6">
        <v>0</v>
      </c>
      <c r="AD64" s="6">
        <v>3</v>
      </c>
      <c r="AE64" s="6">
        <v>1</v>
      </c>
      <c r="AF64" s="6" t="s">
        <v>389</v>
      </c>
      <c r="AG64" s="6" t="s">
        <v>37</v>
      </c>
      <c r="AH64" s="6" t="s">
        <v>390</v>
      </c>
      <c r="AI64" s="6" t="s">
        <v>837</v>
      </c>
      <c r="AJ64" s="6" t="s">
        <v>822</v>
      </c>
      <c r="AK64" s="82" t="str">
        <f>IFERROR(VLOOKUP(B64,'DET Salary 2024'!A13:I47,8,FALSE), "No salary data")</f>
        <v>No salary data</v>
      </c>
      <c r="AL64" s="125" t="e">
        <f t="shared" si="0"/>
        <v>#VALUE!</v>
      </c>
      <c r="AM64" s="13" t="e">
        <f t="shared" si="1"/>
        <v>#VALUE!</v>
      </c>
    </row>
    <row r="65" spans="1:39" hidden="1" x14ac:dyDescent="0.25">
      <c r="A65" s="7">
        <v>14</v>
      </c>
      <c r="B65" s="7" t="s">
        <v>391</v>
      </c>
      <c r="C65" s="7">
        <v>31</v>
      </c>
      <c r="D65" s="7" t="s">
        <v>10</v>
      </c>
      <c r="E65" s="7">
        <v>1.4</v>
      </c>
      <c r="F65" s="7">
        <v>99</v>
      </c>
      <c r="G65" s="7">
        <v>244</v>
      </c>
      <c r="H65" s="7">
        <v>224</v>
      </c>
      <c r="I65" s="7">
        <v>30</v>
      </c>
      <c r="J65" s="7">
        <v>54</v>
      </c>
      <c r="K65" s="7">
        <v>9</v>
      </c>
      <c r="L65" s="7">
        <v>1</v>
      </c>
      <c r="M65" s="7">
        <v>5</v>
      </c>
      <c r="N65" s="7">
        <v>32</v>
      </c>
      <c r="O65" s="7">
        <v>2</v>
      </c>
      <c r="P65" s="7">
        <v>3</v>
      </c>
      <c r="Q65" s="7">
        <v>15</v>
      </c>
      <c r="R65" s="7">
        <v>63</v>
      </c>
      <c r="S65" s="7">
        <v>0.24099999999999999</v>
      </c>
      <c r="T65" s="7">
        <v>0.29499999999999998</v>
      </c>
      <c r="U65" s="7">
        <v>0.35699999999999998</v>
      </c>
      <c r="V65" s="7">
        <v>0.65200000000000002</v>
      </c>
      <c r="W65" s="7">
        <v>85</v>
      </c>
      <c r="X65" s="7">
        <v>0.28899999999999998</v>
      </c>
      <c r="Y65" s="7">
        <v>86</v>
      </c>
      <c r="Z65" s="7">
        <v>80</v>
      </c>
      <c r="AA65" s="7">
        <v>2</v>
      </c>
      <c r="AB65" s="7">
        <v>3</v>
      </c>
      <c r="AC65" s="7">
        <v>0</v>
      </c>
      <c r="AD65" s="7">
        <v>2</v>
      </c>
      <c r="AE65" s="7">
        <v>0</v>
      </c>
      <c r="AF65" s="7" t="s">
        <v>392</v>
      </c>
      <c r="AG65" s="7" t="s">
        <v>37</v>
      </c>
      <c r="AH65" s="7" t="s">
        <v>393</v>
      </c>
      <c r="AI65" s="7" t="s">
        <v>837</v>
      </c>
      <c r="AJ65" s="7" t="s">
        <v>822</v>
      </c>
      <c r="AK65" s="82" t="str">
        <f>IFERROR(VLOOKUP(B65,'DET Salary 2024'!A14:I48,8,FALSE), "No salary data")</f>
        <v>No salary data</v>
      </c>
      <c r="AL65" s="125" t="e">
        <f t="shared" si="0"/>
        <v>#VALUE!</v>
      </c>
      <c r="AM65" s="13" t="e">
        <f t="shared" si="1"/>
        <v>#VALUE!</v>
      </c>
    </row>
    <row r="66" spans="1:39" hidden="1" x14ac:dyDescent="0.25">
      <c r="A66" s="6">
        <v>15</v>
      </c>
      <c r="B66" s="6" t="s">
        <v>394</v>
      </c>
      <c r="C66" s="6">
        <v>29</v>
      </c>
      <c r="D66" s="6" t="s">
        <v>35</v>
      </c>
      <c r="E66" s="6">
        <v>0.7</v>
      </c>
      <c r="F66" s="6">
        <v>60</v>
      </c>
      <c r="G66" s="6">
        <v>203</v>
      </c>
      <c r="H66" s="6">
        <v>179</v>
      </c>
      <c r="I66" s="6">
        <v>21</v>
      </c>
      <c r="J66" s="6">
        <v>43</v>
      </c>
      <c r="K66" s="6">
        <v>4</v>
      </c>
      <c r="L66" s="6">
        <v>1</v>
      </c>
      <c r="M66" s="6">
        <v>7</v>
      </c>
      <c r="N66" s="6">
        <v>29</v>
      </c>
      <c r="O66" s="6">
        <v>0</v>
      </c>
      <c r="P66" s="6">
        <v>0</v>
      </c>
      <c r="Q66" s="6">
        <v>17</v>
      </c>
      <c r="R66" s="6">
        <v>40</v>
      </c>
      <c r="S66" s="6">
        <v>0.24</v>
      </c>
      <c r="T66" s="6">
        <v>0.32500000000000001</v>
      </c>
      <c r="U66" s="6">
        <v>0.39100000000000001</v>
      </c>
      <c r="V66" s="6">
        <v>0.71599999999999997</v>
      </c>
      <c r="W66" s="6">
        <v>104</v>
      </c>
      <c r="X66" s="6">
        <v>0.315</v>
      </c>
      <c r="Y66" s="6">
        <v>102</v>
      </c>
      <c r="Z66" s="6">
        <v>70</v>
      </c>
      <c r="AA66" s="6">
        <v>3</v>
      </c>
      <c r="AB66" s="6">
        <v>6</v>
      </c>
      <c r="AC66" s="6">
        <v>0</v>
      </c>
      <c r="AD66" s="6">
        <v>1</v>
      </c>
      <c r="AE66" s="6">
        <v>0</v>
      </c>
      <c r="AF66" s="6" t="s">
        <v>395</v>
      </c>
      <c r="AG66" s="6" t="s">
        <v>37</v>
      </c>
      <c r="AH66" s="6" t="s">
        <v>396</v>
      </c>
      <c r="AI66" s="6" t="s">
        <v>837</v>
      </c>
      <c r="AJ66" s="6" t="s">
        <v>822</v>
      </c>
      <c r="AK66" s="82" t="str">
        <f>IFERROR(VLOOKUP(B66,'DET Salary 2024'!A15:I49,8,FALSE), "No salary data")</f>
        <v>No salary data</v>
      </c>
      <c r="AL66" s="125" t="e">
        <f t="shared" si="0"/>
        <v>#VALUE!</v>
      </c>
      <c r="AM66" s="13" t="e">
        <f t="shared" si="1"/>
        <v>#VALUE!</v>
      </c>
    </row>
    <row r="67" spans="1:39" x14ac:dyDescent="0.25">
      <c r="A67" s="7">
        <v>16</v>
      </c>
      <c r="B67" s="7" t="s">
        <v>397</v>
      </c>
      <c r="C67" s="7">
        <v>24</v>
      </c>
      <c r="D67" s="7" t="s">
        <v>47</v>
      </c>
      <c r="E67" s="7">
        <v>0.7</v>
      </c>
      <c r="F67" s="7">
        <v>36</v>
      </c>
      <c r="G67" s="7">
        <v>119</v>
      </c>
      <c r="H67" s="7">
        <v>110</v>
      </c>
      <c r="I67" s="7">
        <v>11</v>
      </c>
      <c r="J67" s="7">
        <v>24</v>
      </c>
      <c r="K67" s="7">
        <v>5</v>
      </c>
      <c r="L67" s="7">
        <v>0</v>
      </c>
      <c r="M67" s="7">
        <v>4</v>
      </c>
      <c r="N67" s="7">
        <v>17</v>
      </c>
      <c r="O67" s="7">
        <v>2</v>
      </c>
      <c r="P67" s="7">
        <v>0</v>
      </c>
      <c r="Q67" s="7">
        <v>7</v>
      </c>
      <c r="R67" s="7">
        <v>32</v>
      </c>
      <c r="S67" s="7">
        <v>0.218</v>
      </c>
      <c r="T67" s="7">
        <v>0.26900000000000002</v>
      </c>
      <c r="U67" s="7">
        <v>0.373</v>
      </c>
      <c r="V67" s="7">
        <v>0.64200000000000002</v>
      </c>
      <c r="W67" s="7">
        <v>81</v>
      </c>
      <c r="X67" s="7">
        <v>0.28999999999999998</v>
      </c>
      <c r="Y67" s="7">
        <v>81</v>
      </c>
      <c r="Z67" s="7">
        <v>41</v>
      </c>
      <c r="AA67" s="7">
        <v>3</v>
      </c>
      <c r="AB67" s="7">
        <v>1</v>
      </c>
      <c r="AC67" s="7">
        <v>0</v>
      </c>
      <c r="AD67" s="7">
        <v>1</v>
      </c>
      <c r="AE67" s="7">
        <v>0</v>
      </c>
      <c r="AF67" s="7" t="s">
        <v>105</v>
      </c>
      <c r="AG67" s="7" t="s">
        <v>37</v>
      </c>
      <c r="AH67" s="7" t="s">
        <v>398</v>
      </c>
      <c r="AI67" s="7" t="s">
        <v>837</v>
      </c>
      <c r="AJ67" s="7" t="s">
        <v>822</v>
      </c>
      <c r="AK67" s="82">
        <f>IFERROR(VLOOKUP(B67,'DET Salary 2024'!A16:I50,8,FALSE), "No salary data")</f>
        <v>175032</v>
      </c>
      <c r="AL67" s="13">
        <f t="shared" ref="AL67:AL116" si="2">AK67/E67</f>
        <v>250045.71428571429</v>
      </c>
      <c r="AM67" s="13">
        <f t="shared" ref="AM67:AM116" si="3">AK67/W67</f>
        <v>2160.8888888888887</v>
      </c>
    </row>
    <row r="68" spans="1:39" x14ac:dyDescent="0.25">
      <c r="A68" s="6">
        <v>17</v>
      </c>
      <c r="B68" s="6" t="s">
        <v>399</v>
      </c>
      <c r="C68" s="6">
        <v>23</v>
      </c>
      <c r="D68" s="6" t="s">
        <v>11</v>
      </c>
      <c r="E68" s="6">
        <v>-0.5</v>
      </c>
      <c r="F68" s="6">
        <v>34</v>
      </c>
      <c r="G68" s="6">
        <v>94</v>
      </c>
      <c r="H68" s="6">
        <v>79</v>
      </c>
      <c r="I68" s="6">
        <v>14</v>
      </c>
      <c r="J68" s="6">
        <v>19</v>
      </c>
      <c r="K68" s="6">
        <v>5</v>
      </c>
      <c r="L68" s="6">
        <v>0</v>
      </c>
      <c r="M68" s="6">
        <v>0</v>
      </c>
      <c r="N68" s="6">
        <v>3</v>
      </c>
      <c r="O68" s="6">
        <v>0</v>
      </c>
      <c r="P68" s="6">
        <v>1</v>
      </c>
      <c r="Q68" s="6">
        <v>15</v>
      </c>
      <c r="R68" s="6">
        <v>29</v>
      </c>
      <c r="S68" s="6">
        <v>0.24099999999999999</v>
      </c>
      <c r="T68" s="7">
        <v>0.36199999999999999</v>
      </c>
      <c r="U68" s="6">
        <v>0.30399999999999999</v>
      </c>
      <c r="V68" s="6">
        <v>0.66500000000000004</v>
      </c>
      <c r="W68" s="6">
        <v>93</v>
      </c>
      <c r="X68" s="6">
        <v>0.30399999999999999</v>
      </c>
      <c r="Y68" s="6">
        <v>97</v>
      </c>
      <c r="Z68" s="6">
        <v>24</v>
      </c>
      <c r="AA68" s="6">
        <v>3</v>
      </c>
      <c r="AB68" s="6">
        <v>0</v>
      </c>
      <c r="AC68" s="6">
        <v>0</v>
      </c>
      <c r="AD68" s="6">
        <v>0</v>
      </c>
      <c r="AE68" s="6">
        <v>0</v>
      </c>
      <c r="AF68" s="6" t="s">
        <v>400</v>
      </c>
      <c r="AG68" s="6" t="s">
        <v>37</v>
      </c>
      <c r="AH68" s="6" t="s">
        <v>401</v>
      </c>
      <c r="AI68" s="6" t="s">
        <v>837</v>
      </c>
      <c r="AJ68" s="6" t="s">
        <v>822</v>
      </c>
      <c r="AK68" s="82">
        <f>IFERROR(VLOOKUP(B68,'DET Salary 2024'!A17:I51,8,FALSE), "No salary data")</f>
        <v>175032</v>
      </c>
      <c r="AL68" s="13">
        <f t="shared" si="2"/>
        <v>-350064</v>
      </c>
      <c r="AM68" s="13">
        <f t="shared" si="3"/>
        <v>1882.0645161290322</v>
      </c>
    </row>
    <row r="69" spans="1:39" x14ac:dyDescent="0.25">
      <c r="A69" s="7">
        <v>18</v>
      </c>
      <c r="B69" s="7" t="s">
        <v>402</v>
      </c>
      <c r="C69" s="7">
        <v>25</v>
      </c>
      <c r="D69" s="7" t="s">
        <v>35</v>
      </c>
      <c r="E69" s="7">
        <v>-0.3</v>
      </c>
      <c r="F69" s="7">
        <v>27</v>
      </c>
      <c r="G69" s="7">
        <v>87</v>
      </c>
      <c r="H69" s="7">
        <v>84</v>
      </c>
      <c r="I69" s="7">
        <v>2</v>
      </c>
      <c r="J69" s="7">
        <v>14</v>
      </c>
      <c r="K69" s="7">
        <v>5</v>
      </c>
      <c r="L69" s="7">
        <v>2</v>
      </c>
      <c r="M69" s="7">
        <v>1</v>
      </c>
      <c r="N69" s="7">
        <v>11</v>
      </c>
      <c r="O69" s="7">
        <v>0</v>
      </c>
      <c r="P69" s="7">
        <v>0</v>
      </c>
      <c r="Q69" s="7">
        <v>3</v>
      </c>
      <c r="R69" s="7">
        <v>30</v>
      </c>
      <c r="S69" s="7">
        <v>0.16700000000000001</v>
      </c>
      <c r="T69" s="7">
        <v>0.19500000000000001</v>
      </c>
      <c r="U69" s="7">
        <v>0.31</v>
      </c>
      <c r="V69" s="7">
        <v>0.505</v>
      </c>
      <c r="W69" s="7">
        <v>41</v>
      </c>
      <c r="X69" s="7">
        <v>0.217</v>
      </c>
      <c r="Y69" s="7">
        <v>31</v>
      </c>
      <c r="Z69" s="7">
        <v>26</v>
      </c>
      <c r="AA69" s="7">
        <v>2</v>
      </c>
      <c r="AB69" s="7">
        <v>0</v>
      </c>
      <c r="AC69" s="7">
        <v>0</v>
      </c>
      <c r="AD69" s="7">
        <v>0</v>
      </c>
      <c r="AE69" s="7">
        <v>0</v>
      </c>
      <c r="AF69" s="7" t="s">
        <v>84</v>
      </c>
      <c r="AG69" s="7" t="s">
        <v>37</v>
      </c>
      <c r="AH69" s="7" t="s">
        <v>403</v>
      </c>
      <c r="AI69" s="7" t="s">
        <v>837</v>
      </c>
      <c r="AJ69" s="7" t="s">
        <v>822</v>
      </c>
      <c r="AK69" s="82">
        <f>IFERROR(VLOOKUP(B69,'DET Salary 2024'!A18:I52,8,FALSE), "No salary data")</f>
        <v>242658</v>
      </c>
      <c r="AL69" s="13">
        <f t="shared" si="2"/>
        <v>-808860</v>
      </c>
      <c r="AM69" s="13">
        <f t="shared" si="3"/>
        <v>5918.4878048780483</v>
      </c>
    </row>
    <row r="70" spans="1:39" hidden="1" x14ac:dyDescent="0.25">
      <c r="A70" s="6">
        <v>19</v>
      </c>
      <c r="B70" s="6" t="s">
        <v>404</v>
      </c>
      <c r="C70" s="6">
        <v>25</v>
      </c>
      <c r="D70" s="6" t="s">
        <v>54</v>
      </c>
      <c r="E70" s="6">
        <v>-0.5</v>
      </c>
      <c r="F70" s="6">
        <v>31</v>
      </c>
      <c r="G70" s="6">
        <v>82</v>
      </c>
      <c r="H70" s="6">
        <v>73</v>
      </c>
      <c r="I70" s="6">
        <v>7</v>
      </c>
      <c r="J70" s="6">
        <v>10</v>
      </c>
      <c r="K70" s="6">
        <v>2</v>
      </c>
      <c r="L70" s="6">
        <v>2</v>
      </c>
      <c r="M70" s="6">
        <v>2</v>
      </c>
      <c r="N70" s="6">
        <v>5</v>
      </c>
      <c r="O70" s="6">
        <v>1</v>
      </c>
      <c r="P70" s="6">
        <v>0</v>
      </c>
      <c r="Q70" s="6">
        <v>8</v>
      </c>
      <c r="R70" s="6">
        <v>27</v>
      </c>
      <c r="S70" s="6">
        <v>0.13700000000000001</v>
      </c>
      <c r="T70" s="6">
        <v>0.22</v>
      </c>
      <c r="U70" s="6">
        <v>0.30099999999999999</v>
      </c>
      <c r="V70" s="6">
        <v>0.52100000000000002</v>
      </c>
      <c r="W70" s="6">
        <v>47</v>
      </c>
      <c r="X70" s="6">
        <v>0.23</v>
      </c>
      <c r="Y70" s="6">
        <v>39</v>
      </c>
      <c r="Z70" s="6">
        <v>22</v>
      </c>
      <c r="AA70" s="6">
        <v>0</v>
      </c>
      <c r="AB70" s="6">
        <v>0</v>
      </c>
      <c r="AC70" s="6">
        <v>0</v>
      </c>
      <c r="AD70" s="6">
        <v>1</v>
      </c>
      <c r="AE70" s="6">
        <v>0</v>
      </c>
      <c r="AF70" s="6" t="s">
        <v>405</v>
      </c>
      <c r="AG70" s="6" t="s">
        <v>37</v>
      </c>
      <c r="AH70" s="6" t="s">
        <v>406</v>
      </c>
      <c r="AI70" s="6" t="s">
        <v>837</v>
      </c>
      <c r="AJ70" s="6" t="s">
        <v>822</v>
      </c>
      <c r="AK70" s="82" t="str">
        <f>IFERROR(VLOOKUP(B70,'DET Salary 2024'!A19:I53,8,FALSE), "No salary data")</f>
        <v>No salary data</v>
      </c>
      <c r="AL70" s="125" t="e">
        <f t="shared" si="2"/>
        <v>#VALUE!</v>
      </c>
      <c r="AM70" s="13" t="e">
        <f t="shared" si="3"/>
        <v>#VALUE!</v>
      </c>
    </row>
    <row r="71" spans="1:39" hidden="1" x14ac:dyDescent="0.25">
      <c r="A71" s="7">
        <v>20</v>
      </c>
      <c r="B71" s="7" t="s">
        <v>407</v>
      </c>
      <c r="C71" s="7">
        <v>28</v>
      </c>
      <c r="D71" s="7" t="s">
        <v>40</v>
      </c>
      <c r="E71" s="7">
        <v>0.2</v>
      </c>
      <c r="F71" s="7">
        <v>21</v>
      </c>
      <c r="G71" s="7">
        <v>75</v>
      </c>
      <c r="H71" s="7">
        <v>67</v>
      </c>
      <c r="I71" s="7">
        <v>8</v>
      </c>
      <c r="J71" s="7">
        <v>18</v>
      </c>
      <c r="K71" s="7">
        <v>3</v>
      </c>
      <c r="L71" s="7">
        <v>0</v>
      </c>
      <c r="M71" s="7">
        <v>1</v>
      </c>
      <c r="N71" s="7">
        <v>5</v>
      </c>
      <c r="O71" s="7">
        <v>0</v>
      </c>
      <c r="P71" s="7">
        <v>0</v>
      </c>
      <c r="Q71" s="7">
        <v>6</v>
      </c>
      <c r="R71" s="7">
        <v>20</v>
      </c>
      <c r="S71" s="7">
        <v>0.26900000000000002</v>
      </c>
      <c r="T71" s="7">
        <v>0.32400000000000001</v>
      </c>
      <c r="U71" s="7">
        <v>0.35799999999999998</v>
      </c>
      <c r="V71" s="7">
        <v>0.68300000000000005</v>
      </c>
      <c r="W71" s="7">
        <v>95</v>
      </c>
      <c r="X71" s="7">
        <v>0.29799999999999999</v>
      </c>
      <c r="Y71" s="7">
        <v>89</v>
      </c>
      <c r="Z71" s="7">
        <v>24</v>
      </c>
      <c r="AA71" s="7">
        <v>0</v>
      </c>
      <c r="AB71" s="7">
        <v>0</v>
      </c>
      <c r="AC71" s="7">
        <v>0</v>
      </c>
      <c r="AD71" s="7">
        <v>1</v>
      </c>
      <c r="AE71" s="7">
        <v>0</v>
      </c>
      <c r="AF71" s="7" t="s">
        <v>408</v>
      </c>
      <c r="AG71" s="7" t="s">
        <v>37</v>
      </c>
      <c r="AH71" s="7" t="s">
        <v>409</v>
      </c>
      <c r="AI71" s="7" t="s">
        <v>837</v>
      </c>
      <c r="AJ71" s="7" t="s">
        <v>822</v>
      </c>
      <c r="AK71" s="82" t="str">
        <f>IFERROR(VLOOKUP(B71,'DET Salary 2024'!A20:I54,8,FALSE), "No salary data")</f>
        <v>No salary data</v>
      </c>
      <c r="AL71" s="125" t="e">
        <f t="shared" si="2"/>
        <v>#VALUE!</v>
      </c>
      <c r="AM71" s="13" t="e">
        <f t="shared" si="3"/>
        <v>#VALUE!</v>
      </c>
    </row>
    <row r="72" spans="1:39" hidden="1" x14ac:dyDescent="0.25">
      <c r="A72" s="6">
        <v>21</v>
      </c>
      <c r="B72" s="6" t="s">
        <v>410</v>
      </c>
      <c r="C72" s="6">
        <v>26</v>
      </c>
      <c r="D72" s="6" t="s">
        <v>47</v>
      </c>
      <c r="E72" s="6">
        <v>-0.5</v>
      </c>
      <c r="F72" s="6">
        <v>35</v>
      </c>
      <c r="G72" s="6">
        <v>65</v>
      </c>
      <c r="H72" s="6">
        <v>59</v>
      </c>
      <c r="I72" s="6">
        <v>9</v>
      </c>
      <c r="J72" s="6">
        <v>7</v>
      </c>
      <c r="K72" s="6">
        <v>0</v>
      </c>
      <c r="L72" s="6">
        <v>0</v>
      </c>
      <c r="M72" s="6">
        <v>1</v>
      </c>
      <c r="N72" s="6">
        <v>2</v>
      </c>
      <c r="O72" s="6">
        <v>5</v>
      </c>
      <c r="P72" s="6">
        <v>3</v>
      </c>
      <c r="Q72" s="6">
        <v>6</v>
      </c>
      <c r="R72" s="6">
        <v>19</v>
      </c>
      <c r="S72" s="6">
        <v>0.11899999999999999</v>
      </c>
      <c r="T72" s="6">
        <v>0.2</v>
      </c>
      <c r="U72" s="6">
        <v>0.16900000000000001</v>
      </c>
      <c r="V72" s="6">
        <v>0.36899999999999999</v>
      </c>
      <c r="W72" s="6">
        <v>7</v>
      </c>
      <c r="X72" s="6">
        <v>0.17</v>
      </c>
      <c r="Y72" s="6">
        <v>1</v>
      </c>
      <c r="Z72" s="6">
        <v>10</v>
      </c>
      <c r="AA72" s="6">
        <v>2</v>
      </c>
      <c r="AB72" s="6">
        <v>0</v>
      </c>
      <c r="AC72" s="6">
        <v>0</v>
      </c>
      <c r="AD72" s="6">
        <v>0</v>
      </c>
      <c r="AE72" s="6">
        <v>0</v>
      </c>
      <c r="AF72" s="6" t="s">
        <v>411</v>
      </c>
      <c r="AG72" s="6" t="s">
        <v>37</v>
      </c>
      <c r="AH72" s="6" t="s">
        <v>412</v>
      </c>
      <c r="AI72" s="6" t="s">
        <v>837</v>
      </c>
      <c r="AJ72" s="6" t="s">
        <v>822</v>
      </c>
      <c r="AK72" s="82" t="str">
        <f>IFERROR(VLOOKUP(B72,'DET Salary 2024'!A21:I55,8,FALSE), "No salary data")</f>
        <v>No salary data</v>
      </c>
      <c r="AL72" s="125" t="e">
        <f t="shared" si="2"/>
        <v>#VALUE!</v>
      </c>
      <c r="AM72" s="13" t="e">
        <f t="shared" si="3"/>
        <v>#VALUE!</v>
      </c>
    </row>
    <row r="73" spans="1:39" hidden="1" x14ac:dyDescent="0.25">
      <c r="A73" s="7">
        <v>22</v>
      </c>
      <c r="B73" s="7" t="s">
        <v>413</v>
      </c>
      <c r="C73" s="7">
        <v>25</v>
      </c>
      <c r="D73" s="7" t="s">
        <v>74</v>
      </c>
      <c r="E73" s="7">
        <v>-0.7</v>
      </c>
      <c r="F73" s="7">
        <v>17</v>
      </c>
      <c r="G73" s="7">
        <v>49</v>
      </c>
      <c r="H73" s="7">
        <v>45</v>
      </c>
      <c r="I73" s="7">
        <v>5</v>
      </c>
      <c r="J73" s="7">
        <v>8</v>
      </c>
      <c r="K73" s="7">
        <v>0</v>
      </c>
      <c r="L73" s="7">
        <v>0</v>
      </c>
      <c r="M73" s="7">
        <v>1</v>
      </c>
      <c r="N73" s="7">
        <v>5</v>
      </c>
      <c r="O73" s="7">
        <v>0</v>
      </c>
      <c r="P73" s="7">
        <v>0</v>
      </c>
      <c r="Q73" s="7">
        <v>2</v>
      </c>
      <c r="R73" s="7">
        <v>12</v>
      </c>
      <c r="S73" s="7">
        <v>0.17799999999999999</v>
      </c>
      <c r="T73" s="7">
        <v>0.20799999999999999</v>
      </c>
      <c r="U73" s="7">
        <v>0.24399999999999999</v>
      </c>
      <c r="V73" s="7">
        <v>0.45300000000000001</v>
      </c>
      <c r="W73" s="7">
        <v>29</v>
      </c>
      <c r="X73" s="7">
        <v>0.218</v>
      </c>
      <c r="Y73" s="7">
        <v>31</v>
      </c>
      <c r="Z73" s="7">
        <v>11</v>
      </c>
      <c r="AA73" s="7">
        <v>2</v>
      </c>
      <c r="AB73" s="7">
        <v>0</v>
      </c>
      <c r="AC73" s="7">
        <v>1</v>
      </c>
      <c r="AD73" s="7">
        <v>1</v>
      </c>
      <c r="AE73" s="7">
        <v>0</v>
      </c>
      <c r="AF73" s="7" t="s">
        <v>414</v>
      </c>
      <c r="AG73" s="7" t="s">
        <v>37</v>
      </c>
      <c r="AH73" s="7" t="s">
        <v>415</v>
      </c>
      <c r="AI73" s="7" t="s">
        <v>837</v>
      </c>
      <c r="AJ73" s="7" t="s">
        <v>822</v>
      </c>
      <c r="AK73" s="82" t="str">
        <f>IFERROR(VLOOKUP(B73,'DET Salary 2024'!A22:I56,8,FALSE), "No salary data")</f>
        <v>No salary data</v>
      </c>
      <c r="AL73" s="125" t="e">
        <f t="shared" si="2"/>
        <v>#VALUE!</v>
      </c>
      <c r="AM73" s="13" t="e">
        <f t="shared" si="3"/>
        <v>#VALUE!</v>
      </c>
    </row>
    <row r="74" spans="1:39" hidden="1" x14ac:dyDescent="0.25">
      <c r="A74" s="6">
        <v>23</v>
      </c>
      <c r="B74" s="6" t="s">
        <v>416</v>
      </c>
      <c r="C74" s="6">
        <v>25</v>
      </c>
      <c r="D74" s="6" t="s">
        <v>108</v>
      </c>
      <c r="E74" s="6">
        <v>0.2</v>
      </c>
      <c r="F74" s="6">
        <v>6</v>
      </c>
      <c r="G74" s="6">
        <v>13</v>
      </c>
      <c r="H74" s="6">
        <v>10</v>
      </c>
      <c r="I74" s="6">
        <v>2</v>
      </c>
      <c r="J74" s="6">
        <v>2</v>
      </c>
      <c r="K74" s="6">
        <v>0</v>
      </c>
      <c r="L74" s="6">
        <v>0</v>
      </c>
      <c r="M74" s="6">
        <v>1</v>
      </c>
      <c r="N74" s="6">
        <v>4</v>
      </c>
      <c r="O74" s="6">
        <v>1</v>
      </c>
      <c r="P74" s="6">
        <v>0</v>
      </c>
      <c r="Q74" s="6">
        <v>2</v>
      </c>
      <c r="R74" s="6">
        <v>4</v>
      </c>
      <c r="S74" s="6">
        <v>0.2</v>
      </c>
      <c r="T74" s="6">
        <v>0.308</v>
      </c>
      <c r="U74" s="6">
        <v>0.5</v>
      </c>
      <c r="V74" s="6">
        <v>0.80800000000000005</v>
      </c>
      <c r="W74" s="6">
        <v>125</v>
      </c>
      <c r="X74" s="6">
        <v>0.35</v>
      </c>
      <c r="Y74" s="6">
        <v>114</v>
      </c>
      <c r="Z74" s="6">
        <v>5</v>
      </c>
      <c r="AA74" s="6">
        <v>0</v>
      </c>
      <c r="AB74" s="6">
        <v>0</v>
      </c>
      <c r="AC74" s="6">
        <v>0</v>
      </c>
      <c r="AD74" s="6">
        <v>1</v>
      </c>
      <c r="AE74" s="6">
        <v>0</v>
      </c>
      <c r="AF74" s="6" t="s">
        <v>417</v>
      </c>
      <c r="AG74" s="6" t="s">
        <v>37</v>
      </c>
      <c r="AH74" s="6" t="s">
        <v>418</v>
      </c>
      <c r="AI74" s="6" t="s">
        <v>837</v>
      </c>
      <c r="AJ74" s="6" t="s">
        <v>822</v>
      </c>
      <c r="AK74" s="82" t="str">
        <f>IFERROR(VLOOKUP(B74,'DET Salary 2024'!A23:I57,8,FALSE), "No salary data")</f>
        <v>No salary data</v>
      </c>
      <c r="AL74" s="125" t="e">
        <f t="shared" si="2"/>
        <v>#VALUE!</v>
      </c>
      <c r="AM74" s="13" t="e">
        <f t="shared" si="3"/>
        <v>#VALUE!</v>
      </c>
    </row>
    <row r="75" spans="1:39" x14ac:dyDescent="0.25">
      <c r="A75" s="65">
        <v>1</v>
      </c>
      <c r="B75" s="65" t="s">
        <v>478</v>
      </c>
      <c r="C75" s="65">
        <v>34</v>
      </c>
      <c r="D75" s="65" t="s">
        <v>35</v>
      </c>
      <c r="E75" s="65">
        <v>2.5</v>
      </c>
      <c r="F75" s="65">
        <v>158</v>
      </c>
      <c r="G75" s="65">
        <v>652</v>
      </c>
      <c r="H75" s="65">
        <v>590</v>
      </c>
      <c r="I75" s="65">
        <v>58</v>
      </c>
      <c r="J75" s="65">
        <v>160</v>
      </c>
      <c r="K75" s="65">
        <v>28</v>
      </c>
      <c r="L75" s="65">
        <v>0</v>
      </c>
      <c r="M75" s="65">
        <v>27</v>
      </c>
      <c r="N75" s="65">
        <v>104</v>
      </c>
      <c r="O75" s="65">
        <v>0</v>
      </c>
      <c r="P75" s="65">
        <v>0</v>
      </c>
      <c r="Q75" s="65">
        <v>44</v>
      </c>
      <c r="R75" s="65">
        <v>129</v>
      </c>
      <c r="S75" s="65">
        <v>0.27100000000000002</v>
      </c>
      <c r="T75" s="123">
        <v>0.33</v>
      </c>
      <c r="U75" s="65">
        <v>0.45600000000000002</v>
      </c>
      <c r="V75" s="65">
        <v>0.78600000000000003</v>
      </c>
      <c r="W75" s="65">
        <v>119</v>
      </c>
      <c r="X75" s="65">
        <v>0.33900000000000002</v>
      </c>
      <c r="Y75" s="65">
        <v>116</v>
      </c>
      <c r="Z75" s="65">
        <v>269</v>
      </c>
      <c r="AA75" s="65">
        <v>17</v>
      </c>
      <c r="AB75" s="65">
        <v>11</v>
      </c>
      <c r="AC75" s="65">
        <v>0</v>
      </c>
      <c r="AD75" s="65">
        <v>6</v>
      </c>
      <c r="AE75" s="65">
        <v>9</v>
      </c>
      <c r="AF75" s="65" t="s">
        <v>479</v>
      </c>
      <c r="AG75" s="65" t="s">
        <v>480</v>
      </c>
      <c r="AH75" s="65" t="s">
        <v>481</v>
      </c>
      <c r="AI75" s="65" t="s">
        <v>837</v>
      </c>
      <c r="AJ75" s="65" t="s">
        <v>823</v>
      </c>
      <c r="AK75" s="67">
        <f>IFERROR(VLOOKUP(B75,'KC Salary 2024'!A1:I36,8,FALSE),"No salary data")</f>
        <v>20000000</v>
      </c>
      <c r="AL75" s="13">
        <f t="shared" si="2"/>
        <v>8000000</v>
      </c>
      <c r="AM75" s="13">
        <f t="shared" si="3"/>
        <v>168067.22689075631</v>
      </c>
    </row>
    <row r="76" spans="1:39" x14ac:dyDescent="0.25">
      <c r="A76" s="10">
        <v>2</v>
      </c>
      <c r="B76" s="10" t="s">
        <v>482</v>
      </c>
      <c r="C76" s="10">
        <v>26</v>
      </c>
      <c r="D76" s="10" t="s">
        <v>40</v>
      </c>
      <c r="E76" s="10">
        <v>1.1000000000000001</v>
      </c>
      <c r="F76" s="10">
        <v>131</v>
      </c>
      <c r="G76" s="10">
        <v>554</v>
      </c>
      <c r="H76" s="10">
        <v>496</v>
      </c>
      <c r="I76" s="10">
        <v>64</v>
      </c>
      <c r="J76" s="10">
        <v>130</v>
      </c>
      <c r="K76" s="10">
        <v>30</v>
      </c>
      <c r="L76" s="10">
        <v>2</v>
      </c>
      <c r="M76" s="10">
        <v>19</v>
      </c>
      <c r="N76" s="10">
        <v>97</v>
      </c>
      <c r="O76" s="10">
        <v>1</v>
      </c>
      <c r="P76" s="10">
        <v>0</v>
      </c>
      <c r="Q76" s="10">
        <v>40</v>
      </c>
      <c r="R76" s="10">
        <v>71</v>
      </c>
      <c r="S76" s="10">
        <v>0.26200000000000001</v>
      </c>
      <c r="T76" s="10">
        <v>0.315</v>
      </c>
      <c r="U76" s="10">
        <v>0.44600000000000001</v>
      </c>
      <c r="V76" s="10">
        <v>0.76</v>
      </c>
      <c r="W76" s="10">
        <v>111</v>
      </c>
      <c r="X76" s="10">
        <v>0.32800000000000001</v>
      </c>
      <c r="Y76" s="10">
        <v>108</v>
      </c>
      <c r="Z76" s="10">
        <v>221</v>
      </c>
      <c r="AA76" s="10">
        <v>12</v>
      </c>
      <c r="AB76" s="10">
        <v>4</v>
      </c>
      <c r="AC76" s="10">
        <v>1</v>
      </c>
      <c r="AD76" s="10">
        <v>13</v>
      </c>
      <c r="AE76" s="10">
        <v>1</v>
      </c>
      <c r="AF76" s="10" t="s">
        <v>483</v>
      </c>
      <c r="AG76" s="10" t="s">
        <v>37</v>
      </c>
      <c r="AH76" s="10" t="s">
        <v>484</v>
      </c>
      <c r="AI76" s="10" t="s">
        <v>837</v>
      </c>
      <c r="AJ76" s="10" t="s">
        <v>823</v>
      </c>
      <c r="AK76" s="67">
        <f>IFERROR(VLOOKUP(B76,'KC Salary 2024'!A2:I37,8,FALSE),"No salary data")</f>
        <v>752750</v>
      </c>
      <c r="AL76" s="13">
        <f t="shared" si="2"/>
        <v>684318.18181818177</v>
      </c>
      <c r="AM76" s="13">
        <f t="shared" si="3"/>
        <v>6781.531531531532</v>
      </c>
    </row>
    <row r="77" spans="1:39" x14ac:dyDescent="0.25">
      <c r="A77" s="9">
        <v>3</v>
      </c>
      <c r="B77" s="9" t="s">
        <v>485</v>
      </c>
      <c r="C77" s="9">
        <v>26</v>
      </c>
      <c r="D77" s="9" t="s">
        <v>10</v>
      </c>
      <c r="E77" s="9">
        <v>1.6</v>
      </c>
      <c r="F77" s="9">
        <v>100</v>
      </c>
      <c r="G77" s="9">
        <v>356</v>
      </c>
      <c r="H77" s="9">
        <v>332</v>
      </c>
      <c r="I77" s="9">
        <v>45</v>
      </c>
      <c r="J77" s="9">
        <v>86</v>
      </c>
      <c r="K77" s="9">
        <v>17</v>
      </c>
      <c r="L77" s="9">
        <v>2</v>
      </c>
      <c r="M77" s="9">
        <v>14</v>
      </c>
      <c r="N77" s="9">
        <v>45</v>
      </c>
      <c r="O77" s="9">
        <v>1</v>
      </c>
      <c r="P77" s="9">
        <v>0</v>
      </c>
      <c r="Q77" s="9">
        <v>15</v>
      </c>
      <c r="R77" s="9">
        <v>56</v>
      </c>
      <c r="S77" s="9">
        <v>0.25900000000000001</v>
      </c>
      <c r="T77" s="10">
        <v>0.29399999999999998</v>
      </c>
      <c r="U77" s="9">
        <v>0.44900000000000001</v>
      </c>
      <c r="V77" s="9">
        <v>0.74299999999999999</v>
      </c>
      <c r="W77" s="9">
        <v>105</v>
      </c>
      <c r="X77" s="9">
        <v>0.32800000000000001</v>
      </c>
      <c r="Y77" s="9">
        <v>108</v>
      </c>
      <c r="Z77" s="9">
        <v>149</v>
      </c>
      <c r="AA77" s="9">
        <v>9</v>
      </c>
      <c r="AB77" s="9">
        <v>3</v>
      </c>
      <c r="AC77" s="9">
        <v>2</v>
      </c>
      <c r="AD77" s="9">
        <v>4</v>
      </c>
      <c r="AE77" s="9">
        <v>1</v>
      </c>
      <c r="AF77" s="9" t="s">
        <v>486</v>
      </c>
      <c r="AG77" s="9" t="s">
        <v>37</v>
      </c>
      <c r="AH77" s="9" t="s">
        <v>487</v>
      </c>
      <c r="AI77" s="9" t="s">
        <v>837</v>
      </c>
      <c r="AJ77" s="9" t="s">
        <v>823</v>
      </c>
      <c r="AK77" s="67">
        <f>IFERROR(VLOOKUP(B77,'KC Salary 2024'!A3:I38,8,FALSE),"No salary data")</f>
        <v>757000</v>
      </c>
      <c r="AL77" s="13">
        <f t="shared" si="2"/>
        <v>473125</v>
      </c>
      <c r="AM77" s="13">
        <f t="shared" si="3"/>
        <v>7209.5238095238092</v>
      </c>
    </row>
    <row r="78" spans="1:39" x14ac:dyDescent="0.25">
      <c r="A78" s="10">
        <v>4</v>
      </c>
      <c r="B78" s="10" t="s">
        <v>488</v>
      </c>
      <c r="C78" s="10">
        <v>24</v>
      </c>
      <c r="D78" s="10" t="s">
        <v>47</v>
      </c>
      <c r="E78" s="10">
        <v>9.4</v>
      </c>
      <c r="F78" s="10">
        <v>161</v>
      </c>
      <c r="G78" s="10">
        <v>709</v>
      </c>
      <c r="H78" s="10">
        <v>636</v>
      </c>
      <c r="I78" s="10">
        <v>125</v>
      </c>
      <c r="J78" s="10">
        <v>211</v>
      </c>
      <c r="K78" s="10">
        <v>45</v>
      </c>
      <c r="L78" s="10">
        <v>11</v>
      </c>
      <c r="M78" s="10">
        <v>32</v>
      </c>
      <c r="N78" s="10">
        <v>109</v>
      </c>
      <c r="O78" s="10">
        <v>31</v>
      </c>
      <c r="P78" s="10">
        <v>12</v>
      </c>
      <c r="Q78" s="10">
        <v>57</v>
      </c>
      <c r="R78" s="10">
        <v>106</v>
      </c>
      <c r="S78" s="10">
        <v>0.33200000000000002</v>
      </c>
      <c r="T78" s="10">
        <v>0.38900000000000001</v>
      </c>
      <c r="U78" s="10">
        <v>0.58799999999999997</v>
      </c>
      <c r="V78" s="10">
        <v>0.97699999999999998</v>
      </c>
      <c r="W78" s="10">
        <v>171</v>
      </c>
      <c r="X78" s="10">
        <v>0.41599999999999998</v>
      </c>
      <c r="Y78" s="10">
        <v>171</v>
      </c>
      <c r="Z78" s="10">
        <v>374</v>
      </c>
      <c r="AA78" s="10">
        <v>4</v>
      </c>
      <c r="AB78" s="10">
        <v>8</v>
      </c>
      <c r="AC78" s="10">
        <v>0</v>
      </c>
      <c r="AD78" s="10">
        <v>8</v>
      </c>
      <c r="AE78" s="10">
        <v>9</v>
      </c>
      <c r="AF78" s="10" t="s">
        <v>489</v>
      </c>
      <c r="AG78" s="10" t="s">
        <v>490</v>
      </c>
      <c r="AH78" s="10" t="s">
        <v>491</v>
      </c>
      <c r="AI78" s="10" t="s">
        <v>837</v>
      </c>
      <c r="AJ78" s="10" t="s">
        <v>823</v>
      </c>
      <c r="AK78" s="67">
        <v>3111111</v>
      </c>
      <c r="AL78" s="13">
        <f t="shared" si="2"/>
        <v>330969.25531914894</v>
      </c>
      <c r="AM78" s="13">
        <f t="shared" si="3"/>
        <v>18193.63157894737</v>
      </c>
    </row>
    <row r="79" spans="1:39" x14ac:dyDescent="0.25">
      <c r="A79" s="9">
        <v>5</v>
      </c>
      <c r="B79" s="9" t="s">
        <v>492</v>
      </c>
      <c r="C79" s="9">
        <v>24</v>
      </c>
      <c r="D79" s="9" t="s">
        <v>11</v>
      </c>
      <c r="E79" s="9">
        <v>1.2</v>
      </c>
      <c r="F79" s="9">
        <v>157</v>
      </c>
      <c r="G79" s="9">
        <v>626</v>
      </c>
      <c r="H79" s="9">
        <v>575</v>
      </c>
      <c r="I79" s="9">
        <v>84</v>
      </c>
      <c r="J79" s="9">
        <v>133</v>
      </c>
      <c r="K79" s="9">
        <v>27</v>
      </c>
      <c r="L79" s="9">
        <v>5</v>
      </c>
      <c r="M79" s="9">
        <v>7</v>
      </c>
      <c r="N79" s="9">
        <v>58</v>
      </c>
      <c r="O79" s="9">
        <v>37</v>
      </c>
      <c r="P79" s="9">
        <v>2</v>
      </c>
      <c r="Q79" s="9">
        <v>42</v>
      </c>
      <c r="R79" s="9">
        <v>103</v>
      </c>
      <c r="S79" s="9">
        <v>0.23100000000000001</v>
      </c>
      <c r="T79" s="10">
        <v>0.28100000000000003</v>
      </c>
      <c r="U79" s="9">
        <v>0.33200000000000002</v>
      </c>
      <c r="V79" s="9">
        <v>0.61399999999999999</v>
      </c>
      <c r="W79" s="9">
        <v>72</v>
      </c>
      <c r="X79" s="9">
        <v>0.28699999999999998</v>
      </c>
      <c r="Y79" s="9">
        <v>69</v>
      </c>
      <c r="Z79" s="9">
        <v>191</v>
      </c>
      <c r="AA79" s="9">
        <v>7</v>
      </c>
      <c r="AB79" s="9">
        <v>0</v>
      </c>
      <c r="AC79" s="9">
        <v>4</v>
      </c>
      <c r="AD79" s="9">
        <v>5</v>
      </c>
      <c r="AE79" s="9">
        <v>0</v>
      </c>
      <c r="AF79" s="9" t="s">
        <v>493</v>
      </c>
      <c r="AG79" s="9" t="s">
        <v>37</v>
      </c>
      <c r="AH79" s="9" t="s">
        <v>494</v>
      </c>
      <c r="AI79" s="9" t="s">
        <v>837</v>
      </c>
      <c r="AJ79" s="9" t="s">
        <v>823</v>
      </c>
      <c r="AK79" s="67">
        <f>IFERROR(VLOOKUP(B79,'KC Salary 2024'!A5:I40,8,FALSE),"No salary data")</f>
        <v>751250</v>
      </c>
      <c r="AL79" s="13">
        <f t="shared" si="2"/>
        <v>626041.66666666674</v>
      </c>
      <c r="AM79" s="13">
        <f t="shared" si="3"/>
        <v>10434.027777777777</v>
      </c>
    </row>
    <row r="80" spans="1:39" x14ac:dyDescent="0.25">
      <c r="A80" s="10">
        <v>6</v>
      </c>
      <c r="B80" s="10" t="s">
        <v>495</v>
      </c>
      <c r="C80" s="10">
        <v>25</v>
      </c>
      <c r="D80" s="10" t="s">
        <v>54</v>
      </c>
      <c r="E80" s="10">
        <v>-0.9</v>
      </c>
      <c r="F80" s="10">
        <v>135</v>
      </c>
      <c r="G80" s="10">
        <v>451</v>
      </c>
      <c r="H80" s="10">
        <v>412</v>
      </c>
      <c r="I80" s="10">
        <v>44</v>
      </c>
      <c r="J80" s="10">
        <v>85</v>
      </c>
      <c r="K80" s="10">
        <v>23</v>
      </c>
      <c r="L80" s="10">
        <v>3</v>
      </c>
      <c r="M80" s="10">
        <v>17</v>
      </c>
      <c r="N80" s="10">
        <v>44</v>
      </c>
      <c r="O80" s="10">
        <v>4</v>
      </c>
      <c r="P80" s="10">
        <v>4</v>
      </c>
      <c r="Q80" s="10">
        <v>35</v>
      </c>
      <c r="R80" s="10">
        <v>113</v>
      </c>
      <c r="S80" s="10">
        <v>0.20599999999999999</v>
      </c>
      <c r="T80" s="10">
        <v>0.27300000000000002</v>
      </c>
      <c r="U80" s="10">
        <v>0.4</v>
      </c>
      <c r="V80" s="10">
        <v>0.67400000000000004</v>
      </c>
      <c r="W80" s="10">
        <v>87</v>
      </c>
      <c r="X80" s="10">
        <v>0.28999999999999998</v>
      </c>
      <c r="Y80" s="10">
        <v>83</v>
      </c>
      <c r="Z80" s="10">
        <v>165</v>
      </c>
      <c r="AA80" s="10">
        <v>3</v>
      </c>
      <c r="AB80" s="10">
        <v>3</v>
      </c>
      <c r="AC80" s="10">
        <v>0</v>
      </c>
      <c r="AD80" s="10">
        <v>0</v>
      </c>
      <c r="AE80" s="10">
        <v>1</v>
      </c>
      <c r="AF80" s="10" t="s">
        <v>496</v>
      </c>
      <c r="AG80" s="10" t="s">
        <v>37</v>
      </c>
      <c r="AH80" s="10" t="s">
        <v>497</v>
      </c>
      <c r="AI80" s="10" t="s">
        <v>837</v>
      </c>
      <c r="AJ80" s="10" t="s">
        <v>823</v>
      </c>
      <c r="AK80" s="67">
        <f>IFERROR(VLOOKUP(B80,'KC Salary 2024'!A6:I41,8,FALSE),"No salary data")</f>
        <v>754750</v>
      </c>
      <c r="AL80" s="13">
        <f t="shared" si="2"/>
        <v>-838611.11111111112</v>
      </c>
      <c r="AM80" s="13">
        <f t="shared" si="3"/>
        <v>8675.28735632184</v>
      </c>
    </row>
    <row r="81" spans="1:39" x14ac:dyDescent="0.25">
      <c r="A81" s="9">
        <v>7</v>
      </c>
      <c r="B81" s="9" t="s">
        <v>498</v>
      </c>
      <c r="C81" s="9">
        <v>27</v>
      </c>
      <c r="D81" s="9" t="s">
        <v>58</v>
      </c>
      <c r="E81" s="9">
        <v>1.8</v>
      </c>
      <c r="F81" s="9">
        <v>136</v>
      </c>
      <c r="G81" s="9">
        <v>426</v>
      </c>
      <c r="H81" s="9">
        <v>384</v>
      </c>
      <c r="I81" s="9">
        <v>62</v>
      </c>
      <c r="J81" s="9">
        <v>88</v>
      </c>
      <c r="K81" s="9">
        <v>13</v>
      </c>
      <c r="L81" s="9">
        <v>8</v>
      </c>
      <c r="M81" s="9">
        <v>8</v>
      </c>
      <c r="N81" s="9">
        <v>42</v>
      </c>
      <c r="O81" s="9">
        <v>11</v>
      </c>
      <c r="P81" s="9">
        <v>2</v>
      </c>
      <c r="Q81" s="9">
        <v>27</v>
      </c>
      <c r="R81" s="9">
        <v>88</v>
      </c>
      <c r="S81" s="9">
        <v>0.22900000000000001</v>
      </c>
      <c r="T81" s="10">
        <v>0.28699999999999998</v>
      </c>
      <c r="U81" s="9">
        <v>0.36699999999999999</v>
      </c>
      <c r="V81" s="9">
        <v>0.65400000000000003</v>
      </c>
      <c r="W81" s="9">
        <v>83</v>
      </c>
      <c r="X81" s="9">
        <v>0.29599999999999999</v>
      </c>
      <c r="Y81" s="9">
        <v>82</v>
      </c>
      <c r="Z81" s="9">
        <v>141</v>
      </c>
      <c r="AA81" s="9">
        <v>4</v>
      </c>
      <c r="AB81" s="9">
        <v>5</v>
      </c>
      <c r="AC81" s="9">
        <v>8</v>
      </c>
      <c r="AD81" s="9">
        <v>2</v>
      </c>
      <c r="AE81" s="9">
        <v>0</v>
      </c>
      <c r="AF81" s="9" t="s">
        <v>499</v>
      </c>
      <c r="AG81" s="9" t="s">
        <v>37</v>
      </c>
      <c r="AH81" s="9" t="s">
        <v>500</v>
      </c>
      <c r="AI81" s="9" t="s">
        <v>837</v>
      </c>
      <c r="AJ81" s="9" t="s">
        <v>823</v>
      </c>
      <c r="AK81" s="67">
        <f>IFERROR(VLOOKUP(B81,'KC Salary 2024'!A7:I42,8,FALSE),"No salary data")</f>
        <v>758250</v>
      </c>
      <c r="AL81" s="13">
        <f t="shared" si="2"/>
        <v>421250</v>
      </c>
      <c r="AM81" s="13">
        <f t="shared" si="3"/>
        <v>9135.5421686746995</v>
      </c>
    </row>
    <row r="82" spans="1:39" hidden="1" x14ac:dyDescent="0.25">
      <c r="A82" s="10">
        <v>8</v>
      </c>
      <c r="B82" s="10" t="s">
        <v>501</v>
      </c>
      <c r="C82" s="10">
        <v>32</v>
      </c>
      <c r="D82" s="10" t="s">
        <v>62</v>
      </c>
      <c r="E82" s="10">
        <v>0</v>
      </c>
      <c r="F82" s="10">
        <v>120</v>
      </c>
      <c r="G82" s="10">
        <v>424</v>
      </c>
      <c r="H82" s="10">
        <v>385</v>
      </c>
      <c r="I82" s="10">
        <v>44</v>
      </c>
      <c r="J82" s="10">
        <v>88</v>
      </c>
      <c r="K82" s="10">
        <v>18</v>
      </c>
      <c r="L82" s="10">
        <v>0</v>
      </c>
      <c r="M82" s="10">
        <v>15</v>
      </c>
      <c r="N82" s="10">
        <v>52</v>
      </c>
      <c r="O82" s="10">
        <v>1</v>
      </c>
      <c r="P82" s="10">
        <v>1</v>
      </c>
      <c r="Q82" s="10">
        <v>36</v>
      </c>
      <c r="R82" s="10">
        <v>84</v>
      </c>
      <c r="S82" s="10">
        <v>0.22900000000000001</v>
      </c>
      <c r="T82" s="10">
        <v>0.29699999999999999</v>
      </c>
      <c r="U82" s="10">
        <v>0.39200000000000002</v>
      </c>
      <c r="V82" s="10">
        <v>0.68899999999999995</v>
      </c>
      <c r="W82" s="10">
        <v>92</v>
      </c>
      <c r="X82" s="10">
        <v>0.308</v>
      </c>
      <c r="Y82" s="10">
        <v>94</v>
      </c>
      <c r="Z82" s="10">
        <v>151</v>
      </c>
      <c r="AA82" s="10">
        <v>10</v>
      </c>
      <c r="AB82" s="10">
        <v>2</v>
      </c>
      <c r="AC82" s="10">
        <v>0</v>
      </c>
      <c r="AD82" s="10">
        <v>1</v>
      </c>
      <c r="AE82" s="10">
        <v>0</v>
      </c>
      <c r="AF82" s="10" t="s">
        <v>502</v>
      </c>
      <c r="AG82" s="10" t="s">
        <v>37</v>
      </c>
      <c r="AH82" s="10" t="s">
        <v>503</v>
      </c>
      <c r="AI82" s="10" t="s">
        <v>837</v>
      </c>
      <c r="AJ82" s="10" t="s">
        <v>823</v>
      </c>
      <c r="AK82" s="67" t="str">
        <f>IFERROR(VLOOKUP(B82,'KC Salary 2024'!A8:I43,8,FALSE),"No salary data")</f>
        <v>No salary data</v>
      </c>
      <c r="AL82" s="125" t="e">
        <f t="shared" si="2"/>
        <v>#VALUE!</v>
      </c>
      <c r="AM82" s="13" t="e">
        <f t="shared" si="3"/>
        <v>#VALUE!</v>
      </c>
    </row>
    <row r="83" spans="1:39" hidden="1" x14ac:dyDescent="0.25">
      <c r="A83" s="9">
        <v>9</v>
      </c>
      <c r="B83" s="9" t="s">
        <v>504</v>
      </c>
      <c r="C83" s="9">
        <v>25</v>
      </c>
      <c r="D83" s="9" t="s">
        <v>66</v>
      </c>
      <c r="E83" s="9">
        <v>-0.5</v>
      </c>
      <c r="F83" s="9">
        <v>64</v>
      </c>
      <c r="G83" s="9">
        <v>230</v>
      </c>
      <c r="H83" s="9">
        <v>205</v>
      </c>
      <c r="I83" s="9">
        <v>31</v>
      </c>
      <c r="J83" s="9">
        <v>41</v>
      </c>
      <c r="K83" s="9">
        <v>8</v>
      </c>
      <c r="L83" s="9">
        <v>1</v>
      </c>
      <c r="M83" s="9">
        <v>8</v>
      </c>
      <c r="N83" s="9">
        <v>27</v>
      </c>
      <c r="O83" s="9">
        <v>2</v>
      </c>
      <c r="P83" s="9">
        <v>0</v>
      </c>
      <c r="Q83" s="9">
        <v>19</v>
      </c>
      <c r="R83" s="9">
        <v>61</v>
      </c>
      <c r="S83" s="9">
        <v>0.2</v>
      </c>
      <c r="T83" s="9">
        <v>0.27400000000000002</v>
      </c>
      <c r="U83" s="9">
        <v>0.36599999999999999</v>
      </c>
      <c r="V83" s="9">
        <v>0.64</v>
      </c>
      <c r="W83" s="9">
        <v>78</v>
      </c>
      <c r="X83" s="9">
        <v>0.28499999999999998</v>
      </c>
      <c r="Y83" s="9">
        <v>76</v>
      </c>
      <c r="Z83" s="9">
        <v>75</v>
      </c>
      <c r="AA83" s="9">
        <v>6</v>
      </c>
      <c r="AB83" s="9">
        <v>3</v>
      </c>
      <c r="AC83" s="9">
        <v>0</v>
      </c>
      <c r="AD83" s="9">
        <v>3</v>
      </c>
      <c r="AE83" s="9">
        <v>0</v>
      </c>
      <c r="AF83" s="9" t="s">
        <v>505</v>
      </c>
      <c r="AG83" s="9" t="s">
        <v>37</v>
      </c>
      <c r="AH83" s="9" t="s">
        <v>506</v>
      </c>
      <c r="AI83" s="9" t="s">
        <v>837</v>
      </c>
      <c r="AJ83" s="9" t="s">
        <v>823</v>
      </c>
      <c r="AK83" s="67" t="str">
        <f>IFERROR(VLOOKUP(B83,'KC Salary 2024'!A9:I44,8,FALSE),"No salary data")</f>
        <v>No salary data</v>
      </c>
      <c r="AL83" s="125" t="e">
        <f t="shared" si="2"/>
        <v>#VALUE!</v>
      </c>
      <c r="AM83" s="13" t="e">
        <f t="shared" si="3"/>
        <v>#VALUE!</v>
      </c>
    </row>
    <row r="84" spans="1:39" hidden="1" x14ac:dyDescent="0.25">
      <c r="A84" s="10">
        <v>10</v>
      </c>
      <c r="B84" s="10" t="s">
        <v>507</v>
      </c>
      <c r="C84" s="10">
        <v>29</v>
      </c>
      <c r="D84" s="10" t="s">
        <v>35</v>
      </c>
      <c r="E84" s="10">
        <v>3</v>
      </c>
      <c r="F84" s="10">
        <v>111</v>
      </c>
      <c r="G84" s="10">
        <v>368</v>
      </c>
      <c r="H84" s="10">
        <v>339</v>
      </c>
      <c r="I84" s="10">
        <v>40</v>
      </c>
      <c r="J84" s="10">
        <v>92</v>
      </c>
      <c r="K84" s="10">
        <v>14</v>
      </c>
      <c r="L84" s="10">
        <v>0</v>
      </c>
      <c r="M84" s="10">
        <v>6</v>
      </c>
      <c r="N84" s="10">
        <v>36</v>
      </c>
      <c r="O84" s="10">
        <v>2</v>
      </c>
      <c r="P84" s="10">
        <v>0</v>
      </c>
      <c r="Q84" s="10">
        <v>23</v>
      </c>
      <c r="R84" s="10">
        <v>66</v>
      </c>
      <c r="S84" s="10">
        <v>0.27100000000000002</v>
      </c>
      <c r="T84" s="10">
        <v>0.31900000000000001</v>
      </c>
      <c r="U84" s="10">
        <v>0.36599999999999999</v>
      </c>
      <c r="V84" s="10">
        <v>0.68500000000000005</v>
      </c>
      <c r="W84" s="10">
        <v>93</v>
      </c>
      <c r="X84" s="10">
        <v>0.307</v>
      </c>
      <c r="Y84" s="10">
        <v>92</v>
      </c>
      <c r="Z84" s="10">
        <v>124</v>
      </c>
      <c r="AA84" s="10">
        <v>10</v>
      </c>
      <c r="AB84" s="10">
        <v>2</v>
      </c>
      <c r="AC84" s="10">
        <v>1</v>
      </c>
      <c r="AD84" s="10">
        <v>3</v>
      </c>
      <c r="AE84" s="10">
        <v>1</v>
      </c>
      <c r="AF84" s="10" t="s">
        <v>508</v>
      </c>
      <c r="AG84" s="10" t="s">
        <v>37</v>
      </c>
      <c r="AH84" s="10" t="s">
        <v>509</v>
      </c>
      <c r="AI84" s="10" t="s">
        <v>837</v>
      </c>
      <c r="AJ84" s="10" t="s">
        <v>823</v>
      </c>
      <c r="AK84" s="67" t="str">
        <f>IFERROR(VLOOKUP(B84,'KC Salary 2024'!A10:I45,8,FALSE),"No salary data")</f>
        <v>No salary data</v>
      </c>
      <c r="AL84" s="125" t="e">
        <f t="shared" si="2"/>
        <v>#VALUE!</v>
      </c>
      <c r="AM84" s="13" t="e">
        <f t="shared" si="3"/>
        <v>#VALUE!</v>
      </c>
    </row>
    <row r="85" spans="1:39" hidden="1" x14ac:dyDescent="0.25">
      <c r="A85" s="9">
        <v>11</v>
      </c>
      <c r="B85" s="9" t="s">
        <v>510</v>
      </c>
      <c r="C85" s="9">
        <v>32</v>
      </c>
      <c r="D85" s="9" t="s">
        <v>70</v>
      </c>
      <c r="E85" s="9">
        <v>0.3</v>
      </c>
      <c r="F85" s="9">
        <v>104</v>
      </c>
      <c r="G85" s="9">
        <v>294</v>
      </c>
      <c r="H85" s="9">
        <v>262</v>
      </c>
      <c r="I85" s="9">
        <v>35</v>
      </c>
      <c r="J85" s="9">
        <v>53</v>
      </c>
      <c r="K85" s="9">
        <v>10</v>
      </c>
      <c r="L85" s="9">
        <v>1</v>
      </c>
      <c r="M85" s="9">
        <v>4</v>
      </c>
      <c r="N85" s="9">
        <v>22</v>
      </c>
      <c r="O85" s="9">
        <v>3</v>
      </c>
      <c r="P85" s="9">
        <v>0</v>
      </c>
      <c r="Q85" s="9">
        <v>22</v>
      </c>
      <c r="R85" s="9">
        <v>59</v>
      </c>
      <c r="S85" s="9">
        <v>0.20200000000000001</v>
      </c>
      <c r="T85" s="9">
        <v>0.28199999999999997</v>
      </c>
      <c r="U85" s="9">
        <v>0.29399999999999998</v>
      </c>
      <c r="V85" s="9">
        <v>0.57599999999999996</v>
      </c>
      <c r="W85" s="9">
        <v>63</v>
      </c>
      <c r="X85" s="9">
        <v>0.26900000000000002</v>
      </c>
      <c r="Y85" s="9">
        <v>64</v>
      </c>
      <c r="Z85" s="9">
        <v>77</v>
      </c>
      <c r="AA85" s="9">
        <v>0</v>
      </c>
      <c r="AB85" s="9">
        <v>7</v>
      </c>
      <c r="AC85" s="9">
        <v>3</v>
      </c>
      <c r="AD85" s="9">
        <v>0</v>
      </c>
      <c r="AE85" s="9">
        <v>0</v>
      </c>
      <c r="AF85" s="9" t="s">
        <v>511</v>
      </c>
      <c r="AG85" s="9" t="s">
        <v>37</v>
      </c>
      <c r="AH85" s="9" t="s">
        <v>512</v>
      </c>
      <c r="AI85" s="9" t="s">
        <v>837</v>
      </c>
      <c r="AJ85" s="9" t="s">
        <v>823</v>
      </c>
      <c r="AK85" s="67" t="str">
        <f>IFERROR(VLOOKUP(B85,'KC Salary 2024'!A11:I46,8,FALSE),"No salary data")</f>
        <v>No salary data</v>
      </c>
      <c r="AL85" s="125" t="e">
        <f t="shared" si="2"/>
        <v>#VALUE!</v>
      </c>
      <c r="AM85" s="13" t="e">
        <f t="shared" si="3"/>
        <v>#VALUE!</v>
      </c>
    </row>
    <row r="86" spans="1:39" hidden="1" x14ac:dyDescent="0.25">
      <c r="A86" s="10">
        <v>12</v>
      </c>
      <c r="B86" s="10" t="s">
        <v>513</v>
      </c>
      <c r="C86" s="10">
        <v>29</v>
      </c>
      <c r="D86" s="10" t="s">
        <v>58</v>
      </c>
      <c r="E86" s="10">
        <v>0.4</v>
      </c>
      <c r="F86" s="10">
        <v>113</v>
      </c>
      <c r="G86" s="10">
        <v>231</v>
      </c>
      <c r="H86" s="10">
        <v>213</v>
      </c>
      <c r="I86" s="10">
        <v>16</v>
      </c>
      <c r="J86" s="10">
        <v>49</v>
      </c>
      <c r="K86" s="10">
        <v>13</v>
      </c>
      <c r="L86" s="10">
        <v>1</v>
      </c>
      <c r="M86" s="10">
        <v>0</v>
      </c>
      <c r="N86" s="10">
        <v>16</v>
      </c>
      <c r="O86" s="10">
        <v>7</v>
      </c>
      <c r="P86" s="10">
        <v>2</v>
      </c>
      <c r="Q86" s="10">
        <v>14</v>
      </c>
      <c r="R86" s="10">
        <v>59</v>
      </c>
      <c r="S86" s="10">
        <v>0.23</v>
      </c>
      <c r="T86" s="10">
        <v>0.27500000000000002</v>
      </c>
      <c r="U86" s="10">
        <v>0.3</v>
      </c>
      <c r="V86" s="10">
        <v>0.57599999999999996</v>
      </c>
      <c r="W86" s="10">
        <v>63</v>
      </c>
      <c r="X86" s="10">
        <v>0.25900000000000001</v>
      </c>
      <c r="Y86" s="10">
        <v>56</v>
      </c>
      <c r="Z86" s="10">
        <v>64</v>
      </c>
      <c r="AA86" s="10">
        <v>3</v>
      </c>
      <c r="AB86" s="10">
        <v>0</v>
      </c>
      <c r="AC86" s="10">
        <v>2</v>
      </c>
      <c r="AD86" s="10">
        <v>2</v>
      </c>
      <c r="AE86" s="10">
        <v>0</v>
      </c>
      <c r="AF86" s="10" t="s">
        <v>514</v>
      </c>
      <c r="AG86" s="10" t="s">
        <v>37</v>
      </c>
      <c r="AH86" s="10" t="s">
        <v>515</v>
      </c>
      <c r="AI86" s="10" t="s">
        <v>837</v>
      </c>
      <c r="AJ86" s="10" t="s">
        <v>823</v>
      </c>
      <c r="AK86" s="67" t="str">
        <f>IFERROR(VLOOKUP(B86,'KC Salary 2024'!A12:I47,8,FALSE),"No salary data")</f>
        <v>No salary data</v>
      </c>
      <c r="AL86" s="125" t="e">
        <f t="shared" si="2"/>
        <v>#VALUE!</v>
      </c>
      <c r="AM86" s="13" t="e">
        <f t="shared" si="3"/>
        <v>#VALUE!</v>
      </c>
    </row>
    <row r="87" spans="1:39" hidden="1" x14ac:dyDescent="0.25">
      <c r="A87" s="9">
        <v>13</v>
      </c>
      <c r="B87" s="9" t="s">
        <v>516</v>
      </c>
      <c r="C87" s="9">
        <v>25</v>
      </c>
      <c r="D87" s="9" t="s">
        <v>108</v>
      </c>
      <c r="E87" s="9">
        <v>0.2</v>
      </c>
      <c r="F87" s="9">
        <v>56</v>
      </c>
      <c r="G87" s="9">
        <v>171</v>
      </c>
      <c r="H87" s="9">
        <v>148</v>
      </c>
      <c r="I87" s="9">
        <v>15</v>
      </c>
      <c r="J87" s="9">
        <v>28</v>
      </c>
      <c r="K87" s="9">
        <v>4</v>
      </c>
      <c r="L87" s="9">
        <v>0</v>
      </c>
      <c r="M87" s="9">
        <v>1</v>
      </c>
      <c r="N87" s="9">
        <v>14</v>
      </c>
      <c r="O87" s="9">
        <v>1</v>
      </c>
      <c r="P87" s="9">
        <v>0</v>
      </c>
      <c r="Q87" s="9">
        <v>19</v>
      </c>
      <c r="R87" s="9">
        <v>24</v>
      </c>
      <c r="S87" s="9">
        <v>0.189</v>
      </c>
      <c r="T87" s="9">
        <v>0.28199999999999997</v>
      </c>
      <c r="U87" s="9">
        <v>0.23599999999999999</v>
      </c>
      <c r="V87" s="9">
        <v>0.51900000000000002</v>
      </c>
      <c r="W87" s="9">
        <v>49</v>
      </c>
      <c r="X87" s="9">
        <v>0.25800000000000001</v>
      </c>
      <c r="Y87" s="9">
        <v>56</v>
      </c>
      <c r="Z87" s="9">
        <v>35</v>
      </c>
      <c r="AA87" s="9">
        <v>4</v>
      </c>
      <c r="AB87" s="9">
        <v>1</v>
      </c>
      <c r="AC87" s="9">
        <v>1</v>
      </c>
      <c r="AD87" s="9">
        <v>2</v>
      </c>
      <c r="AE87" s="9">
        <v>0</v>
      </c>
      <c r="AF87" s="9" t="s">
        <v>517</v>
      </c>
      <c r="AG87" s="9" t="s">
        <v>37</v>
      </c>
      <c r="AH87" s="9" t="s">
        <v>518</v>
      </c>
      <c r="AI87" s="9" t="s">
        <v>837</v>
      </c>
      <c r="AJ87" s="9" t="s">
        <v>823</v>
      </c>
      <c r="AK87" s="67" t="str">
        <f>IFERROR(VLOOKUP(B87,'KC Salary 2024'!A13:I48,8,FALSE),"No salary data")</f>
        <v>No salary data</v>
      </c>
      <c r="AL87" s="125" t="e">
        <f t="shared" si="2"/>
        <v>#VALUE!</v>
      </c>
      <c r="AM87" s="13" t="e">
        <f t="shared" si="3"/>
        <v>#VALUE!</v>
      </c>
    </row>
    <row r="88" spans="1:39" x14ac:dyDescent="0.25">
      <c r="A88" s="10">
        <v>14</v>
      </c>
      <c r="B88" s="10" t="s">
        <v>519</v>
      </c>
      <c r="C88" s="10">
        <v>31</v>
      </c>
      <c r="D88" s="10" t="s">
        <v>54</v>
      </c>
      <c r="E88" s="10">
        <v>0.1</v>
      </c>
      <c r="F88" s="10">
        <v>88</v>
      </c>
      <c r="G88" s="10">
        <v>132</v>
      </c>
      <c r="H88" s="10">
        <v>120</v>
      </c>
      <c r="I88" s="10">
        <v>37</v>
      </c>
      <c r="J88" s="10">
        <v>31</v>
      </c>
      <c r="K88" s="10">
        <v>4</v>
      </c>
      <c r="L88" s="10">
        <v>0</v>
      </c>
      <c r="M88" s="10">
        <v>4</v>
      </c>
      <c r="N88" s="10">
        <v>13</v>
      </c>
      <c r="O88" s="10">
        <v>31</v>
      </c>
      <c r="P88" s="10">
        <v>7</v>
      </c>
      <c r="Q88" s="10">
        <v>8</v>
      </c>
      <c r="R88" s="10">
        <v>32</v>
      </c>
      <c r="S88" s="10">
        <v>0.25800000000000001</v>
      </c>
      <c r="T88" s="10">
        <v>0.308</v>
      </c>
      <c r="U88" s="10">
        <v>0.39200000000000002</v>
      </c>
      <c r="V88" s="10">
        <v>0.69899999999999995</v>
      </c>
      <c r="W88" s="10">
        <v>96</v>
      </c>
      <c r="X88" s="10">
        <v>0.32700000000000001</v>
      </c>
      <c r="Y88" s="10">
        <v>85</v>
      </c>
      <c r="Z88" s="10">
        <v>47</v>
      </c>
      <c r="AA88" s="10">
        <v>2</v>
      </c>
      <c r="AB88" s="10">
        <v>1</v>
      </c>
      <c r="AC88" s="10">
        <v>1</v>
      </c>
      <c r="AD88" s="10">
        <v>1</v>
      </c>
      <c r="AE88" s="10">
        <v>0</v>
      </c>
      <c r="AF88" s="10" t="s">
        <v>520</v>
      </c>
      <c r="AG88" s="10" t="s">
        <v>37</v>
      </c>
      <c r="AH88" s="10" t="s">
        <v>521</v>
      </c>
      <c r="AI88" s="10" t="s">
        <v>837</v>
      </c>
      <c r="AJ88" s="10" t="s">
        <v>823</v>
      </c>
      <c r="AK88" s="67">
        <f>IFERROR(VLOOKUP(B88,'KC Salary 2024'!A14:I49,8,FALSE),"No salary data")</f>
        <v>743750</v>
      </c>
      <c r="AL88" s="13">
        <f t="shared" si="2"/>
        <v>7437500</v>
      </c>
      <c r="AM88" s="13">
        <f t="shared" si="3"/>
        <v>7747.395833333333</v>
      </c>
    </row>
    <row r="89" spans="1:39" x14ac:dyDescent="0.25">
      <c r="A89" s="9">
        <v>15</v>
      </c>
      <c r="B89" s="9" t="s">
        <v>46</v>
      </c>
      <c r="C89" s="9">
        <v>30</v>
      </c>
      <c r="D89" s="9" t="s">
        <v>11</v>
      </c>
      <c r="E89" s="9">
        <v>0.7</v>
      </c>
      <c r="F89" s="9">
        <v>37</v>
      </c>
      <c r="G89" s="9">
        <v>119</v>
      </c>
      <c r="H89" s="9">
        <v>108</v>
      </c>
      <c r="I89" s="9">
        <v>15</v>
      </c>
      <c r="J89" s="9">
        <v>24</v>
      </c>
      <c r="K89" s="9">
        <v>3</v>
      </c>
      <c r="L89" s="9">
        <v>0</v>
      </c>
      <c r="M89" s="9">
        <v>6</v>
      </c>
      <c r="N89" s="9">
        <v>15</v>
      </c>
      <c r="O89" s="9">
        <v>0</v>
      </c>
      <c r="P89" s="9">
        <v>1</v>
      </c>
      <c r="Q89" s="9">
        <v>9</v>
      </c>
      <c r="R89" s="9">
        <v>44</v>
      </c>
      <c r="S89" s="9">
        <v>0.222</v>
      </c>
      <c r="T89" s="10">
        <v>0.27700000000000002</v>
      </c>
      <c r="U89" s="9">
        <v>0.41699999999999998</v>
      </c>
      <c r="V89" s="9">
        <v>0.69399999999999995</v>
      </c>
      <c r="W89" s="9">
        <v>92</v>
      </c>
      <c r="X89" s="9">
        <v>0.308</v>
      </c>
      <c r="Y89" s="9">
        <v>97</v>
      </c>
      <c r="Z89" s="9">
        <v>45</v>
      </c>
      <c r="AA89" s="9">
        <v>1</v>
      </c>
      <c r="AB89" s="9">
        <v>0</v>
      </c>
      <c r="AC89" s="9">
        <v>0</v>
      </c>
      <c r="AD89" s="9">
        <v>2</v>
      </c>
      <c r="AE89" s="9">
        <v>0</v>
      </c>
      <c r="AF89" s="9" t="s">
        <v>522</v>
      </c>
      <c r="AG89" s="9" t="s">
        <v>37</v>
      </c>
      <c r="AH89" s="9" t="s">
        <v>49</v>
      </c>
      <c r="AI89" s="9" t="s">
        <v>837</v>
      </c>
      <c r="AJ89" s="9" t="s">
        <v>823</v>
      </c>
      <c r="AK89" s="67">
        <f>IFERROR(VLOOKUP(B89,'KC Salary 2024'!A15:I50,8,FALSE),"No salary data")</f>
        <v>714540</v>
      </c>
      <c r="AL89" s="13">
        <f t="shared" si="2"/>
        <v>1020771.4285714286</v>
      </c>
      <c r="AM89" s="13">
        <f t="shared" si="3"/>
        <v>7766.739130434783</v>
      </c>
    </row>
    <row r="90" spans="1:39" hidden="1" x14ac:dyDescent="0.25">
      <c r="A90" s="10">
        <v>16</v>
      </c>
      <c r="B90" s="10" t="s">
        <v>73</v>
      </c>
      <c r="C90" s="10">
        <v>36</v>
      </c>
      <c r="D90" s="10" t="s">
        <v>74</v>
      </c>
      <c r="E90" s="10">
        <v>0.1</v>
      </c>
      <c r="F90" s="10">
        <v>23</v>
      </c>
      <c r="G90" s="10">
        <v>104</v>
      </c>
      <c r="H90" s="10">
        <v>101</v>
      </c>
      <c r="I90" s="10">
        <v>9</v>
      </c>
      <c r="J90" s="10">
        <v>23</v>
      </c>
      <c r="K90" s="10">
        <v>3</v>
      </c>
      <c r="L90" s="10">
        <v>1</v>
      </c>
      <c r="M90" s="10">
        <v>2</v>
      </c>
      <c r="N90" s="10">
        <v>8</v>
      </c>
      <c r="O90" s="10">
        <v>1</v>
      </c>
      <c r="P90" s="10">
        <v>0</v>
      </c>
      <c r="Q90" s="10">
        <v>3</v>
      </c>
      <c r="R90" s="10">
        <v>27</v>
      </c>
      <c r="S90" s="10">
        <v>0.22800000000000001</v>
      </c>
      <c r="T90" s="10">
        <v>0.25</v>
      </c>
      <c r="U90" s="10">
        <v>0.33700000000000002</v>
      </c>
      <c r="V90" s="10">
        <v>0.58699999999999997</v>
      </c>
      <c r="W90" s="10">
        <v>64</v>
      </c>
      <c r="X90" s="10">
        <v>0.27200000000000002</v>
      </c>
      <c r="Y90" s="10">
        <v>66</v>
      </c>
      <c r="Z90" s="10">
        <v>34</v>
      </c>
      <c r="AA90" s="10">
        <v>1</v>
      </c>
      <c r="AB90" s="10">
        <v>0</v>
      </c>
      <c r="AC90" s="10">
        <v>0</v>
      </c>
      <c r="AD90" s="10">
        <v>0</v>
      </c>
      <c r="AE90" s="10">
        <v>0</v>
      </c>
      <c r="AF90" s="10" t="s">
        <v>523</v>
      </c>
      <c r="AG90" s="10" t="s">
        <v>37</v>
      </c>
      <c r="AH90" s="10" t="s">
        <v>76</v>
      </c>
      <c r="AI90" s="10" t="s">
        <v>837</v>
      </c>
      <c r="AJ90" s="10" t="s">
        <v>823</v>
      </c>
      <c r="AK90" s="67" t="str">
        <f>IFERROR(VLOOKUP(B90,'KC Salary 2024'!A16:I51,8,FALSE),"No salary data")</f>
        <v>No salary data</v>
      </c>
      <c r="AL90" s="125" t="e">
        <f t="shared" si="2"/>
        <v>#VALUE!</v>
      </c>
      <c r="AM90" s="13" t="e">
        <f t="shared" si="3"/>
        <v>#VALUE!</v>
      </c>
    </row>
    <row r="91" spans="1:39" hidden="1" x14ac:dyDescent="0.25">
      <c r="A91" s="9">
        <v>17</v>
      </c>
      <c r="B91" s="9" t="s">
        <v>524</v>
      </c>
      <c r="C91" s="9">
        <v>40</v>
      </c>
      <c r="D91" s="9" t="s">
        <v>40</v>
      </c>
      <c r="E91" s="9">
        <v>0.1</v>
      </c>
      <c r="F91" s="9">
        <v>18</v>
      </c>
      <c r="G91" s="9">
        <v>65</v>
      </c>
      <c r="H91" s="9">
        <v>54</v>
      </c>
      <c r="I91" s="9">
        <v>7</v>
      </c>
      <c r="J91" s="9">
        <v>13</v>
      </c>
      <c r="K91" s="9">
        <v>3</v>
      </c>
      <c r="L91" s="9">
        <v>0</v>
      </c>
      <c r="M91" s="9">
        <v>0</v>
      </c>
      <c r="N91" s="9">
        <v>6</v>
      </c>
      <c r="O91" s="9">
        <v>1</v>
      </c>
      <c r="P91" s="9">
        <v>0</v>
      </c>
      <c r="Q91" s="9">
        <v>9</v>
      </c>
      <c r="R91" s="9">
        <v>15</v>
      </c>
      <c r="S91" s="9">
        <v>0.24099999999999999</v>
      </c>
      <c r="T91" s="9">
        <v>0.33800000000000002</v>
      </c>
      <c r="U91" s="9">
        <v>0.29599999999999999</v>
      </c>
      <c r="V91" s="9">
        <v>0.63500000000000001</v>
      </c>
      <c r="W91" s="9">
        <v>82</v>
      </c>
      <c r="X91" s="9">
        <v>0.28899999999999998</v>
      </c>
      <c r="Y91" s="9">
        <v>78</v>
      </c>
      <c r="Z91" s="9">
        <v>16</v>
      </c>
      <c r="AA91" s="9">
        <v>1</v>
      </c>
      <c r="AB91" s="9">
        <v>0</v>
      </c>
      <c r="AC91" s="9">
        <v>0</v>
      </c>
      <c r="AD91" s="9">
        <v>2</v>
      </c>
      <c r="AE91" s="9">
        <v>0</v>
      </c>
      <c r="AF91" s="9" t="s">
        <v>525</v>
      </c>
      <c r="AG91" s="9" t="s">
        <v>37</v>
      </c>
      <c r="AH91" s="9" t="s">
        <v>526</v>
      </c>
      <c r="AI91" s="9" t="s">
        <v>837</v>
      </c>
      <c r="AJ91" s="9" t="s">
        <v>823</v>
      </c>
      <c r="AK91" s="67" t="str">
        <f>IFERROR(VLOOKUP(B91,'KC Salary 2024'!A17:I52,8,FALSE),"No salary data")</f>
        <v>No salary data</v>
      </c>
      <c r="AL91" s="125" t="e">
        <f t="shared" si="2"/>
        <v>#VALUE!</v>
      </c>
      <c r="AM91" s="13" t="e">
        <f t="shared" si="3"/>
        <v>#VALUE!</v>
      </c>
    </row>
    <row r="92" spans="1:39" hidden="1" x14ac:dyDescent="0.25">
      <c r="A92" s="10">
        <v>18</v>
      </c>
      <c r="B92" s="10" t="s">
        <v>95</v>
      </c>
      <c r="C92" s="10">
        <v>34</v>
      </c>
      <c r="D92" s="10" t="s">
        <v>66</v>
      </c>
      <c r="E92" s="10">
        <v>-0.4</v>
      </c>
      <c r="F92" s="10">
        <v>16</v>
      </c>
      <c r="G92" s="10">
        <v>38</v>
      </c>
      <c r="H92" s="10">
        <v>32</v>
      </c>
      <c r="I92" s="10">
        <v>2</v>
      </c>
      <c r="J92" s="10">
        <v>4</v>
      </c>
      <c r="K92" s="10">
        <v>0</v>
      </c>
      <c r="L92" s="10">
        <v>0</v>
      </c>
      <c r="M92" s="10">
        <v>0</v>
      </c>
      <c r="N92" s="10">
        <v>2</v>
      </c>
      <c r="O92" s="10">
        <v>0</v>
      </c>
      <c r="P92" s="10">
        <v>0</v>
      </c>
      <c r="Q92" s="10">
        <v>5</v>
      </c>
      <c r="R92" s="10">
        <v>13</v>
      </c>
      <c r="S92" s="10">
        <v>0.125</v>
      </c>
      <c r="T92" s="10">
        <v>0.26300000000000001</v>
      </c>
      <c r="U92" s="10">
        <v>0.125</v>
      </c>
      <c r="V92" s="10">
        <v>0.38800000000000001</v>
      </c>
      <c r="W92" s="10">
        <v>15</v>
      </c>
      <c r="X92" s="10">
        <v>0.20100000000000001</v>
      </c>
      <c r="Y92" s="10">
        <v>17</v>
      </c>
      <c r="Z92" s="10">
        <v>4</v>
      </c>
      <c r="AA92" s="10">
        <v>1</v>
      </c>
      <c r="AB92" s="10">
        <v>1</v>
      </c>
      <c r="AC92" s="10">
        <v>0</v>
      </c>
      <c r="AD92" s="10">
        <v>0</v>
      </c>
      <c r="AE92" s="10">
        <v>0</v>
      </c>
      <c r="AF92" s="10" t="s">
        <v>527</v>
      </c>
      <c r="AG92" s="10" t="s">
        <v>37</v>
      </c>
      <c r="AH92" s="10" t="s">
        <v>97</v>
      </c>
      <c r="AI92" s="10" t="s">
        <v>837</v>
      </c>
      <c r="AJ92" s="10" t="s">
        <v>823</v>
      </c>
      <c r="AK92" s="67" t="str">
        <f>IFERROR(VLOOKUP(B92,'KC Salary 2024'!A18:I53,8,FALSE),"No salary data")</f>
        <v>No salary data</v>
      </c>
      <c r="AL92" s="125" t="e">
        <f t="shared" si="2"/>
        <v>#VALUE!</v>
      </c>
      <c r="AM92" s="13" t="e">
        <f t="shared" si="3"/>
        <v>#VALUE!</v>
      </c>
    </row>
    <row r="93" spans="1:39" hidden="1" x14ac:dyDescent="0.25">
      <c r="A93" s="9">
        <v>19</v>
      </c>
      <c r="B93" s="9" t="s">
        <v>528</v>
      </c>
      <c r="C93" s="9">
        <v>25</v>
      </c>
      <c r="D93" s="9" t="s">
        <v>74</v>
      </c>
      <c r="E93" s="9">
        <v>0</v>
      </c>
      <c r="F93" s="9">
        <v>7</v>
      </c>
      <c r="G93" s="9">
        <v>19</v>
      </c>
      <c r="H93" s="9">
        <v>16</v>
      </c>
      <c r="I93" s="9">
        <v>2</v>
      </c>
      <c r="J93" s="9">
        <v>3</v>
      </c>
      <c r="K93" s="9">
        <v>1</v>
      </c>
      <c r="L93" s="9">
        <v>0</v>
      </c>
      <c r="M93" s="9">
        <v>0</v>
      </c>
      <c r="N93" s="9">
        <v>1</v>
      </c>
      <c r="O93" s="9">
        <v>0</v>
      </c>
      <c r="P93" s="9">
        <v>0</v>
      </c>
      <c r="Q93" s="9">
        <v>2</v>
      </c>
      <c r="R93" s="9">
        <v>6</v>
      </c>
      <c r="S93" s="9">
        <v>0.188</v>
      </c>
      <c r="T93" s="9">
        <v>0.316</v>
      </c>
      <c r="U93" s="9">
        <v>0.25</v>
      </c>
      <c r="V93" s="9">
        <v>0.56599999999999995</v>
      </c>
      <c r="W93" s="9">
        <v>63</v>
      </c>
      <c r="X93" s="9">
        <v>0.26500000000000001</v>
      </c>
      <c r="Y93" s="9">
        <v>63</v>
      </c>
      <c r="Z93" s="9">
        <v>4</v>
      </c>
      <c r="AA93" s="9">
        <v>0</v>
      </c>
      <c r="AB93" s="9">
        <v>1</v>
      </c>
      <c r="AC93" s="9">
        <v>0</v>
      </c>
      <c r="AD93" s="9">
        <v>0</v>
      </c>
      <c r="AE93" s="9">
        <v>0</v>
      </c>
      <c r="AF93" s="9" t="s">
        <v>529</v>
      </c>
      <c r="AG93" s="9" t="s">
        <v>37</v>
      </c>
      <c r="AH93" s="9" t="s">
        <v>530</v>
      </c>
      <c r="AI93" s="9" t="s">
        <v>837</v>
      </c>
      <c r="AJ93" s="9" t="s">
        <v>823</v>
      </c>
      <c r="AK93" s="67" t="str">
        <f>IFERROR(VLOOKUP(B93,'KC Salary 2024'!A19:I54,8,FALSE),"No salary data")</f>
        <v>No salary data</v>
      </c>
      <c r="AL93" s="125" t="e">
        <f t="shared" si="2"/>
        <v>#VALUE!</v>
      </c>
      <c r="AM93" s="13" t="e">
        <f t="shared" si="3"/>
        <v>#VALUE!</v>
      </c>
    </row>
    <row r="94" spans="1:39" hidden="1" x14ac:dyDescent="0.25">
      <c r="A94" s="10">
        <v>20</v>
      </c>
      <c r="B94" s="10" t="s">
        <v>531</v>
      </c>
      <c r="C94" s="10">
        <v>27</v>
      </c>
      <c r="D94" s="10" t="s">
        <v>11</v>
      </c>
      <c r="E94" s="10">
        <v>-0.2</v>
      </c>
      <c r="F94" s="10">
        <v>4</v>
      </c>
      <c r="G94" s="10">
        <v>8</v>
      </c>
      <c r="H94" s="10">
        <v>8</v>
      </c>
      <c r="I94" s="10">
        <v>0</v>
      </c>
      <c r="J94" s="10">
        <v>1</v>
      </c>
      <c r="K94" s="10">
        <v>0</v>
      </c>
      <c r="L94" s="10">
        <v>0</v>
      </c>
      <c r="M94" s="10">
        <v>0</v>
      </c>
      <c r="N94" s="10">
        <v>0</v>
      </c>
      <c r="O94" s="10">
        <v>0</v>
      </c>
      <c r="P94" s="10">
        <v>0</v>
      </c>
      <c r="Q94" s="10">
        <v>0</v>
      </c>
      <c r="R94" s="10">
        <v>3</v>
      </c>
      <c r="S94" s="10">
        <v>0.125</v>
      </c>
      <c r="T94" s="10">
        <v>0.125</v>
      </c>
      <c r="U94" s="10">
        <v>0.125</v>
      </c>
      <c r="V94" s="10">
        <v>0.25</v>
      </c>
      <c r="W94" s="10">
        <v>-29</v>
      </c>
      <c r="X94" s="10">
        <v>0.112</v>
      </c>
      <c r="Y94" s="10">
        <v>-48</v>
      </c>
      <c r="Z94" s="10">
        <v>1</v>
      </c>
      <c r="AA94" s="10">
        <v>0</v>
      </c>
      <c r="AB94" s="10">
        <v>0</v>
      </c>
      <c r="AC94" s="10">
        <v>0</v>
      </c>
      <c r="AD94" s="10">
        <v>0</v>
      </c>
      <c r="AE94" s="10">
        <v>0</v>
      </c>
      <c r="AF94" s="10" t="s">
        <v>290</v>
      </c>
      <c r="AG94" s="10" t="s">
        <v>37</v>
      </c>
      <c r="AH94" s="10" t="s">
        <v>532</v>
      </c>
      <c r="AI94" s="10" t="s">
        <v>837</v>
      </c>
      <c r="AJ94" s="10" t="s">
        <v>823</v>
      </c>
      <c r="AK94" s="67" t="str">
        <f>IFERROR(VLOOKUP(B94,'KC Salary 2024'!A20:I55,8,FALSE),"No salary data")</f>
        <v>No salary data</v>
      </c>
      <c r="AL94" s="125" t="e">
        <f t="shared" si="2"/>
        <v>#VALUE!</v>
      </c>
      <c r="AM94" s="13" t="e">
        <f t="shared" si="3"/>
        <v>#VALUE!</v>
      </c>
    </row>
    <row r="95" spans="1:39" hidden="1" x14ac:dyDescent="0.25">
      <c r="A95" s="9">
        <v>21</v>
      </c>
      <c r="B95" s="9" t="s">
        <v>533</v>
      </c>
      <c r="C95" s="9">
        <v>25</v>
      </c>
      <c r="D95" s="9" t="s">
        <v>62</v>
      </c>
      <c r="E95" s="9">
        <v>-0.1</v>
      </c>
      <c r="F95" s="9">
        <v>3</v>
      </c>
      <c r="G95" s="9">
        <v>5</v>
      </c>
      <c r="H95" s="9">
        <v>5</v>
      </c>
      <c r="I95" s="9">
        <v>0</v>
      </c>
      <c r="J95" s="9">
        <v>0</v>
      </c>
      <c r="K95" s="9">
        <v>0</v>
      </c>
      <c r="L95" s="9">
        <v>0</v>
      </c>
      <c r="M95" s="9">
        <v>0</v>
      </c>
      <c r="N95" s="9">
        <v>0</v>
      </c>
      <c r="O95" s="9">
        <v>0</v>
      </c>
      <c r="P95" s="9">
        <v>0</v>
      </c>
      <c r="Q95" s="9">
        <v>0</v>
      </c>
      <c r="R95" s="9">
        <v>2</v>
      </c>
      <c r="S95" s="9">
        <v>0</v>
      </c>
      <c r="T95" s="9">
        <v>0</v>
      </c>
      <c r="U95" s="9">
        <v>0</v>
      </c>
      <c r="V95" s="9">
        <v>0</v>
      </c>
      <c r="W95" s="9">
        <v>-100</v>
      </c>
      <c r="X95" s="9">
        <v>0</v>
      </c>
      <c r="Y95" s="9">
        <v>-125</v>
      </c>
      <c r="Z95" s="9">
        <v>0</v>
      </c>
      <c r="AA95" s="9">
        <v>0</v>
      </c>
      <c r="AB95" s="9">
        <v>0</v>
      </c>
      <c r="AC95" s="9">
        <v>0</v>
      </c>
      <c r="AD95" s="9">
        <v>0</v>
      </c>
      <c r="AE95" s="9">
        <v>0</v>
      </c>
      <c r="AF95" s="9" t="s">
        <v>534</v>
      </c>
      <c r="AG95" s="9" t="s">
        <v>37</v>
      </c>
      <c r="AH95" s="9" t="s">
        <v>535</v>
      </c>
      <c r="AI95" s="9" t="s">
        <v>837</v>
      </c>
      <c r="AJ95" s="9" t="s">
        <v>823</v>
      </c>
      <c r="AK95" s="67" t="str">
        <f>IFERROR(VLOOKUP(B95,'KC Salary 2024'!A21:I56,8,FALSE),"No salary data")</f>
        <v>No salary data</v>
      </c>
      <c r="AL95" s="125" t="e">
        <f t="shared" si="2"/>
        <v>#VALUE!</v>
      </c>
      <c r="AM95" s="13" t="e">
        <f t="shared" si="3"/>
        <v>#VALUE!</v>
      </c>
    </row>
    <row r="96" spans="1:39" x14ac:dyDescent="0.25">
      <c r="A96" s="32">
        <v>1</v>
      </c>
      <c r="B96" s="32" t="s">
        <v>596</v>
      </c>
      <c r="C96" s="32">
        <v>27</v>
      </c>
      <c r="D96" s="32" t="s">
        <v>35</v>
      </c>
      <c r="E96" s="32">
        <v>2.1</v>
      </c>
      <c r="F96" s="32">
        <v>122</v>
      </c>
      <c r="G96" s="32">
        <v>465</v>
      </c>
      <c r="H96" s="32">
        <v>412</v>
      </c>
      <c r="I96" s="32">
        <v>56</v>
      </c>
      <c r="J96" s="32">
        <v>93</v>
      </c>
      <c r="K96" s="32">
        <v>22</v>
      </c>
      <c r="L96" s="32">
        <v>0</v>
      </c>
      <c r="M96" s="32">
        <v>21</v>
      </c>
      <c r="N96" s="32">
        <v>64</v>
      </c>
      <c r="O96" s="32">
        <v>3</v>
      </c>
      <c r="P96" s="32">
        <v>0</v>
      </c>
      <c r="Q96" s="32">
        <v>32</v>
      </c>
      <c r="R96" s="32">
        <v>94</v>
      </c>
      <c r="S96" s="32">
        <v>0.22600000000000001</v>
      </c>
      <c r="T96" s="124">
        <v>0.3</v>
      </c>
      <c r="U96" s="32">
        <v>0.432</v>
      </c>
      <c r="V96" s="32">
        <v>0.73199999999999998</v>
      </c>
      <c r="W96" s="32">
        <v>103</v>
      </c>
      <c r="X96" s="32">
        <v>0.32200000000000001</v>
      </c>
      <c r="Y96" s="32">
        <v>103</v>
      </c>
      <c r="Z96" s="32">
        <v>178</v>
      </c>
      <c r="AA96" s="32">
        <v>9</v>
      </c>
      <c r="AB96" s="32">
        <v>14</v>
      </c>
      <c r="AC96" s="32">
        <v>1</v>
      </c>
      <c r="AD96" s="32">
        <v>6</v>
      </c>
      <c r="AE96" s="32">
        <v>0</v>
      </c>
      <c r="AF96" s="32" t="s">
        <v>597</v>
      </c>
      <c r="AG96" s="32" t="s">
        <v>37</v>
      </c>
      <c r="AH96" s="32" t="s">
        <v>598</v>
      </c>
      <c r="AI96" s="32" t="s">
        <v>839</v>
      </c>
      <c r="AJ96" s="32" t="s">
        <v>824</v>
      </c>
      <c r="AK96" s="49">
        <f>IFERROR(VLOOKUP(B96,'MIN Salary 2024'!A1:I40,8,FALSE),"No salary data")</f>
        <v>2425000</v>
      </c>
      <c r="AL96" s="13">
        <f t="shared" si="2"/>
        <v>1154761.9047619046</v>
      </c>
      <c r="AM96" s="13">
        <f t="shared" si="3"/>
        <v>23543.689320388348</v>
      </c>
    </row>
    <row r="97" spans="1:39" x14ac:dyDescent="0.25">
      <c r="A97" s="15">
        <v>2</v>
      </c>
      <c r="B97" s="15" t="s">
        <v>599</v>
      </c>
      <c r="C97" s="15">
        <v>38</v>
      </c>
      <c r="D97" s="15" t="s">
        <v>40</v>
      </c>
      <c r="E97" s="15">
        <v>2.5</v>
      </c>
      <c r="F97" s="15">
        <v>150</v>
      </c>
      <c r="G97" s="15">
        <v>594</v>
      </c>
      <c r="H97" s="15">
        <v>521</v>
      </c>
      <c r="I97" s="15">
        <v>63</v>
      </c>
      <c r="J97" s="15">
        <v>124</v>
      </c>
      <c r="K97" s="15">
        <v>26</v>
      </c>
      <c r="L97" s="15">
        <v>0</v>
      </c>
      <c r="M97" s="15">
        <v>23</v>
      </c>
      <c r="N97" s="15">
        <v>71</v>
      </c>
      <c r="O97" s="15">
        <v>4</v>
      </c>
      <c r="P97" s="15">
        <v>0</v>
      </c>
      <c r="Q97" s="15">
        <v>65</v>
      </c>
      <c r="R97" s="15">
        <v>99</v>
      </c>
      <c r="S97" s="15">
        <v>0.23799999999999999</v>
      </c>
      <c r="T97" s="15">
        <v>0.32800000000000001</v>
      </c>
      <c r="U97" s="15">
        <v>0.42</v>
      </c>
      <c r="V97" s="15">
        <v>0.749</v>
      </c>
      <c r="W97" s="15">
        <v>109</v>
      </c>
      <c r="X97" s="15">
        <v>0.32900000000000001</v>
      </c>
      <c r="Y97" s="15">
        <v>108</v>
      </c>
      <c r="Z97" s="15">
        <v>219</v>
      </c>
      <c r="AA97" s="15">
        <v>11</v>
      </c>
      <c r="AB97" s="15">
        <v>6</v>
      </c>
      <c r="AC97" s="15">
        <v>0</v>
      </c>
      <c r="AD97" s="15">
        <v>2</v>
      </c>
      <c r="AE97" s="15">
        <v>3</v>
      </c>
      <c r="AF97" s="15" t="s">
        <v>600</v>
      </c>
      <c r="AG97" s="15" t="s">
        <v>235</v>
      </c>
      <c r="AH97" s="15" t="s">
        <v>601</v>
      </c>
      <c r="AI97" s="15" t="s">
        <v>839</v>
      </c>
      <c r="AJ97" s="15" t="s">
        <v>824</v>
      </c>
      <c r="AK97" s="40">
        <v>5500000</v>
      </c>
      <c r="AL97" s="125">
        <f t="shared" si="2"/>
        <v>2200000</v>
      </c>
      <c r="AM97" s="13">
        <f t="shared" si="3"/>
        <v>50458.715596330272</v>
      </c>
    </row>
    <row r="98" spans="1:39" x14ac:dyDescent="0.25">
      <c r="A98" s="14">
        <v>3</v>
      </c>
      <c r="B98" s="14" t="s">
        <v>602</v>
      </c>
      <c r="C98" s="14">
        <v>25</v>
      </c>
      <c r="D98" s="14" t="s">
        <v>10</v>
      </c>
      <c r="E98" s="14">
        <v>-0.2</v>
      </c>
      <c r="F98" s="14">
        <v>94</v>
      </c>
      <c r="G98" s="14">
        <v>301</v>
      </c>
      <c r="H98" s="14">
        <v>266</v>
      </c>
      <c r="I98" s="14">
        <v>36</v>
      </c>
      <c r="J98" s="14">
        <v>53</v>
      </c>
      <c r="K98" s="14">
        <v>9</v>
      </c>
      <c r="L98" s="14">
        <v>0</v>
      </c>
      <c r="M98" s="14">
        <v>8</v>
      </c>
      <c r="N98" s="14">
        <v>21</v>
      </c>
      <c r="O98" s="14">
        <v>6</v>
      </c>
      <c r="P98" s="14">
        <v>0</v>
      </c>
      <c r="Q98" s="14">
        <v>33</v>
      </c>
      <c r="R98" s="14">
        <v>102</v>
      </c>
      <c r="S98" s="14">
        <v>0.19900000000000001</v>
      </c>
      <c r="T98" s="15">
        <v>0.29199999999999998</v>
      </c>
      <c r="U98" s="14">
        <v>0.32300000000000001</v>
      </c>
      <c r="V98" s="14">
        <v>0.61599999999999999</v>
      </c>
      <c r="W98" s="14">
        <v>74</v>
      </c>
      <c r="X98" s="14">
        <v>0.28799999999999998</v>
      </c>
      <c r="Y98" s="14">
        <v>76</v>
      </c>
      <c r="Z98" s="14">
        <v>86</v>
      </c>
      <c r="AA98" s="14">
        <v>2</v>
      </c>
      <c r="AB98" s="14">
        <v>2</v>
      </c>
      <c r="AC98" s="14">
        <v>0</v>
      </c>
      <c r="AD98" s="14">
        <v>0</v>
      </c>
      <c r="AE98" s="14">
        <v>0</v>
      </c>
      <c r="AF98" s="14" t="s">
        <v>603</v>
      </c>
      <c r="AG98" s="14" t="s">
        <v>37</v>
      </c>
      <c r="AH98" s="14" t="s">
        <v>604</v>
      </c>
      <c r="AI98" s="14" t="s">
        <v>839</v>
      </c>
      <c r="AJ98" s="14" t="s">
        <v>824</v>
      </c>
      <c r="AK98" s="49">
        <f>IFERROR(VLOOKUP(B98,'MIN Salary 2024'!A3:I42,8,FALSE),"No salary data")</f>
        <v>481800</v>
      </c>
      <c r="AL98" s="13">
        <f t="shared" si="2"/>
        <v>-2409000</v>
      </c>
      <c r="AM98" s="13">
        <f t="shared" si="3"/>
        <v>6510.8108108108108</v>
      </c>
    </row>
    <row r="99" spans="1:39" x14ac:dyDescent="0.25">
      <c r="A99" s="15">
        <v>4</v>
      </c>
      <c r="B99" s="15" t="s">
        <v>605</v>
      </c>
      <c r="C99" s="15">
        <v>29</v>
      </c>
      <c r="D99" s="15" t="s">
        <v>47</v>
      </c>
      <c r="E99" s="15">
        <v>3.7</v>
      </c>
      <c r="F99" s="15">
        <v>86</v>
      </c>
      <c r="G99" s="15">
        <v>367</v>
      </c>
      <c r="H99" s="15">
        <v>319</v>
      </c>
      <c r="I99" s="15">
        <v>55</v>
      </c>
      <c r="J99" s="15">
        <v>99</v>
      </c>
      <c r="K99" s="15">
        <v>20</v>
      </c>
      <c r="L99" s="15">
        <v>2</v>
      </c>
      <c r="M99" s="15">
        <v>14</v>
      </c>
      <c r="N99" s="15">
        <v>54</v>
      </c>
      <c r="O99" s="15">
        <v>0</v>
      </c>
      <c r="P99" s="15">
        <v>0</v>
      </c>
      <c r="Q99" s="15">
        <v>40</v>
      </c>
      <c r="R99" s="15">
        <v>61</v>
      </c>
      <c r="S99" s="15">
        <v>0.31</v>
      </c>
      <c r="T99" s="15">
        <v>0.38800000000000001</v>
      </c>
      <c r="U99" s="15">
        <v>0.51700000000000002</v>
      </c>
      <c r="V99" s="15">
        <v>0.90500000000000003</v>
      </c>
      <c r="W99" s="15">
        <v>152</v>
      </c>
      <c r="X99" s="15">
        <v>0.39300000000000002</v>
      </c>
      <c r="Y99" s="15">
        <v>155</v>
      </c>
      <c r="Z99" s="15">
        <v>165</v>
      </c>
      <c r="AA99" s="15">
        <v>5</v>
      </c>
      <c r="AB99" s="15">
        <v>3</v>
      </c>
      <c r="AC99" s="15">
        <v>0</v>
      </c>
      <c r="AD99" s="15">
        <v>4</v>
      </c>
      <c r="AE99" s="15">
        <v>4</v>
      </c>
      <c r="AF99" s="15" t="s">
        <v>606</v>
      </c>
      <c r="AG99" s="15" t="s">
        <v>163</v>
      </c>
      <c r="AH99" s="15" t="s">
        <v>607</v>
      </c>
      <c r="AI99" s="15" t="s">
        <v>839</v>
      </c>
      <c r="AJ99" s="15" t="s">
        <v>824</v>
      </c>
      <c r="AK99" s="36">
        <v>33333333</v>
      </c>
      <c r="AL99" s="125">
        <f t="shared" si="2"/>
        <v>9009008.9189189188</v>
      </c>
      <c r="AM99" s="13">
        <f t="shared" si="3"/>
        <v>219298.24342105264</v>
      </c>
    </row>
    <row r="100" spans="1:39" hidden="1" x14ac:dyDescent="0.25">
      <c r="A100" s="14">
        <v>5</v>
      </c>
      <c r="B100" s="14" t="s">
        <v>608</v>
      </c>
      <c r="C100" s="14">
        <v>26</v>
      </c>
      <c r="D100" s="14" t="s">
        <v>11</v>
      </c>
      <c r="E100" s="14">
        <v>1.7</v>
      </c>
      <c r="F100" s="14">
        <v>121</v>
      </c>
      <c r="G100" s="14">
        <v>429</v>
      </c>
      <c r="H100" s="14">
        <v>401</v>
      </c>
      <c r="I100" s="14">
        <v>44</v>
      </c>
      <c r="J100" s="14">
        <v>114</v>
      </c>
      <c r="K100" s="14">
        <v>28</v>
      </c>
      <c r="L100" s="14">
        <v>4</v>
      </c>
      <c r="M100" s="14">
        <v>9</v>
      </c>
      <c r="N100" s="14">
        <v>49</v>
      </c>
      <c r="O100" s="14">
        <v>2</v>
      </c>
      <c r="P100" s="14">
        <v>2</v>
      </c>
      <c r="Q100" s="14">
        <v>18</v>
      </c>
      <c r="R100" s="14">
        <v>66</v>
      </c>
      <c r="S100" s="14">
        <v>0.28399999999999997</v>
      </c>
      <c r="T100" s="14">
        <v>0.32200000000000001</v>
      </c>
      <c r="U100" s="14">
        <v>0.441</v>
      </c>
      <c r="V100" s="14">
        <v>0.76300000000000001</v>
      </c>
      <c r="W100" s="14">
        <v>112</v>
      </c>
      <c r="X100" s="14">
        <v>0.33300000000000002</v>
      </c>
      <c r="Y100" s="14">
        <v>112</v>
      </c>
      <c r="Z100" s="14">
        <v>177</v>
      </c>
      <c r="AA100" s="14">
        <v>13</v>
      </c>
      <c r="AB100" s="14">
        <v>6</v>
      </c>
      <c r="AC100" s="14">
        <v>0</v>
      </c>
      <c r="AD100" s="14">
        <v>4</v>
      </c>
      <c r="AE100" s="14">
        <v>1</v>
      </c>
      <c r="AF100" s="14" t="s">
        <v>609</v>
      </c>
      <c r="AG100" s="14" t="s">
        <v>37</v>
      </c>
      <c r="AH100" s="14" t="s">
        <v>610</v>
      </c>
      <c r="AI100" s="14" t="s">
        <v>839</v>
      </c>
      <c r="AJ100" s="14" t="s">
        <v>824</v>
      </c>
      <c r="AK100" s="49" t="str">
        <f>IFERROR(VLOOKUP(B100,'MIN Salary 2024'!A5:I44,8,FALSE),"No salary data")</f>
        <v>No salary data</v>
      </c>
      <c r="AL100" s="125" t="e">
        <f t="shared" si="2"/>
        <v>#VALUE!</v>
      </c>
      <c r="AM100" s="13" t="e">
        <f t="shared" si="3"/>
        <v>#VALUE!</v>
      </c>
    </row>
    <row r="101" spans="1:39" x14ac:dyDescent="0.25">
      <c r="A101" s="15">
        <v>6</v>
      </c>
      <c r="B101" s="15" t="s">
        <v>611</v>
      </c>
      <c r="C101" s="15">
        <v>29</v>
      </c>
      <c r="D101" s="15" t="s">
        <v>54</v>
      </c>
      <c r="E101" s="15">
        <v>-0.9</v>
      </c>
      <c r="F101" s="15">
        <v>129</v>
      </c>
      <c r="G101" s="15">
        <v>343</v>
      </c>
      <c r="H101" s="15">
        <v>315</v>
      </c>
      <c r="I101" s="15">
        <v>37</v>
      </c>
      <c r="J101" s="15">
        <v>75</v>
      </c>
      <c r="K101" s="15">
        <v>17</v>
      </c>
      <c r="L101" s="15">
        <v>1</v>
      </c>
      <c r="M101" s="15">
        <v>4</v>
      </c>
      <c r="N101" s="15">
        <v>31</v>
      </c>
      <c r="O101" s="15">
        <v>5</v>
      </c>
      <c r="P101" s="15">
        <v>0</v>
      </c>
      <c r="Q101" s="15">
        <v>21</v>
      </c>
      <c r="R101" s="15">
        <v>54</v>
      </c>
      <c r="S101" s="15">
        <v>0.23799999999999999</v>
      </c>
      <c r="T101" s="15">
        <v>0.28899999999999998</v>
      </c>
      <c r="U101" s="15">
        <v>0.33700000000000002</v>
      </c>
      <c r="V101" s="15">
        <v>0.626</v>
      </c>
      <c r="W101" s="15">
        <v>76</v>
      </c>
      <c r="X101" s="15">
        <v>0.28100000000000003</v>
      </c>
      <c r="Y101" s="15">
        <v>72</v>
      </c>
      <c r="Z101" s="15">
        <v>106</v>
      </c>
      <c r="AA101" s="15">
        <v>10</v>
      </c>
      <c r="AB101" s="15">
        <v>3</v>
      </c>
      <c r="AC101" s="15">
        <v>1</v>
      </c>
      <c r="AD101" s="15">
        <v>3</v>
      </c>
      <c r="AE101" s="15">
        <v>0</v>
      </c>
      <c r="AF101" s="15" t="s">
        <v>612</v>
      </c>
      <c r="AG101" s="15" t="s">
        <v>37</v>
      </c>
      <c r="AH101" s="15" t="s">
        <v>613</v>
      </c>
      <c r="AI101" s="15" t="s">
        <v>839</v>
      </c>
      <c r="AJ101" s="15" t="s">
        <v>824</v>
      </c>
      <c r="AK101" s="49">
        <f>IFERROR(VLOOKUP(B101,'MIN Salary 2024'!A6:I45,8,FALSE),"No salary data")</f>
        <v>4000000</v>
      </c>
      <c r="AL101" s="13">
        <f t="shared" si="2"/>
        <v>-4444444.444444444</v>
      </c>
      <c r="AM101" s="13">
        <f t="shared" si="3"/>
        <v>52631.57894736842</v>
      </c>
    </row>
    <row r="102" spans="1:39" hidden="1" x14ac:dyDescent="0.25">
      <c r="A102" s="14">
        <v>7</v>
      </c>
      <c r="B102" s="14" t="s">
        <v>614</v>
      </c>
      <c r="C102" s="14">
        <v>30</v>
      </c>
      <c r="D102" s="14" t="s">
        <v>58</v>
      </c>
      <c r="E102" s="14">
        <v>3.6</v>
      </c>
      <c r="F102" s="14">
        <v>102</v>
      </c>
      <c r="G102" s="14">
        <v>388</v>
      </c>
      <c r="H102" s="14">
        <v>355</v>
      </c>
      <c r="I102" s="14">
        <v>62</v>
      </c>
      <c r="J102" s="14">
        <v>99</v>
      </c>
      <c r="K102" s="14">
        <v>27</v>
      </c>
      <c r="L102" s="14">
        <v>3</v>
      </c>
      <c r="M102" s="14">
        <v>18</v>
      </c>
      <c r="N102" s="14">
        <v>56</v>
      </c>
      <c r="O102" s="14">
        <v>7</v>
      </c>
      <c r="P102" s="14">
        <v>2</v>
      </c>
      <c r="Q102" s="14">
        <v>20</v>
      </c>
      <c r="R102" s="14">
        <v>99</v>
      </c>
      <c r="S102" s="14">
        <v>0.27900000000000003</v>
      </c>
      <c r="T102" s="14">
        <v>0.33500000000000002</v>
      </c>
      <c r="U102" s="14">
        <v>0.52400000000000002</v>
      </c>
      <c r="V102" s="14">
        <v>0.85899999999999999</v>
      </c>
      <c r="W102" s="14">
        <v>137</v>
      </c>
      <c r="X102" s="14">
        <v>0.36899999999999999</v>
      </c>
      <c r="Y102" s="14">
        <v>136</v>
      </c>
      <c r="Z102" s="14">
        <v>186</v>
      </c>
      <c r="AA102" s="14">
        <v>3</v>
      </c>
      <c r="AB102" s="14">
        <v>11</v>
      </c>
      <c r="AC102" s="14">
        <v>0</v>
      </c>
      <c r="AD102" s="14">
        <v>2</v>
      </c>
      <c r="AE102" s="14">
        <v>1</v>
      </c>
      <c r="AF102" s="14" t="s">
        <v>473</v>
      </c>
      <c r="AG102" s="14" t="s">
        <v>37</v>
      </c>
      <c r="AH102" s="14" t="s">
        <v>615</v>
      </c>
      <c r="AI102" s="14" t="s">
        <v>839</v>
      </c>
      <c r="AJ102" s="14" t="s">
        <v>824</v>
      </c>
      <c r="AK102" s="49" t="str">
        <f>IFERROR(VLOOKUP(B102,'MIN Salary 2024'!A7:I46,8,FALSE),"No salary data")</f>
        <v>No salary data</v>
      </c>
      <c r="AL102" s="125" t="e">
        <f t="shared" si="2"/>
        <v>#VALUE!</v>
      </c>
      <c r="AM102" s="13" t="e">
        <f t="shared" si="3"/>
        <v>#VALUE!</v>
      </c>
    </row>
    <row r="103" spans="1:39" x14ac:dyDescent="0.25">
      <c r="A103" s="15">
        <v>8</v>
      </c>
      <c r="B103" s="15" t="s">
        <v>616</v>
      </c>
      <c r="C103" s="15">
        <v>31</v>
      </c>
      <c r="D103" s="15" t="s">
        <v>62</v>
      </c>
      <c r="E103" s="15">
        <v>1</v>
      </c>
      <c r="F103" s="15">
        <v>105</v>
      </c>
      <c r="G103" s="15">
        <v>399</v>
      </c>
      <c r="H103" s="15">
        <v>368</v>
      </c>
      <c r="I103" s="15">
        <v>43</v>
      </c>
      <c r="J103" s="15">
        <v>93</v>
      </c>
      <c r="K103" s="15">
        <v>21</v>
      </c>
      <c r="L103" s="15">
        <v>1</v>
      </c>
      <c r="M103" s="15">
        <v>8</v>
      </c>
      <c r="N103" s="15">
        <v>42</v>
      </c>
      <c r="O103" s="15">
        <v>1</v>
      </c>
      <c r="P103" s="15">
        <v>0</v>
      </c>
      <c r="Q103" s="15">
        <v>22</v>
      </c>
      <c r="R103" s="15">
        <v>80</v>
      </c>
      <c r="S103" s="15">
        <v>0.253</v>
      </c>
      <c r="T103" s="15">
        <v>0.30199999999999999</v>
      </c>
      <c r="U103" s="15">
        <v>0.38</v>
      </c>
      <c r="V103" s="15">
        <v>0.68200000000000005</v>
      </c>
      <c r="W103" s="15">
        <v>91</v>
      </c>
      <c r="X103" s="15">
        <v>0.315</v>
      </c>
      <c r="Y103" s="15">
        <v>98</v>
      </c>
      <c r="Z103" s="15">
        <v>140</v>
      </c>
      <c r="AA103" s="15">
        <v>3</v>
      </c>
      <c r="AB103" s="15">
        <v>5</v>
      </c>
      <c r="AC103" s="15">
        <v>0</v>
      </c>
      <c r="AD103" s="15">
        <v>3</v>
      </c>
      <c r="AE103" s="15">
        <v>0</v>
      </c>
      <c r="AF103" s="15" t="s">
        <v>617</v>
      </c>
      <c r="AG103" s="15" t="s">
        <v>37</v>
      </c>
      <c r="AH103" s="15" t="s">
        <v>618</v>
      </c>
      <c r="AI103" s="15" t="s">
        <v>839</v>
      </c>
      <c r="AJ103" s="15" t="s">
        <v>824</v>
      </c>
      <c r="AK103" s="49">
        <f>IFERROR(VLOOKUP(B103,'MIN Salary 2024'!A8:I47,8,FALSE),"No salary data")</f>
        <v>10000000</v>
      </c>
      <c r="AL103" s="13">
        <f t="shared" si="2"/>
        <v>10000000</v>
      </c>
      <c r="AM103" s="13">
        <f t="shared" si="3"/>
        <v>109890.10989010989</v>
      </c>
    </row>
    <row r="104" spans="1:39" x14ac:dyDescent="0.25">
      <c r="A104" s="14">
        <v>9</v>
      </c>
      <c r="B104" s="14" t="s">
        <v>619</v>
      </c>
      <c r="C104" s="14">
        <v>27</v>
      </c>
      <c r="D104" s="14" t="s">
        <v>66</v>
      </c>
      <c r="E104" s="14">
        <v>1.3</v>
      </c>
      <c r="F104" s="14">
        <v>112</v>
      </c>
      <c r="G104" s="14">
        <v>400</v>
      </c>
      <c r="H104" s="14">
        <v>355</v>
      </c>
      <c r="I104" s="14">
        <v>59</v>
      </c>
      <c r="J104" s="14">
        <v>92</v>
      </c>
      <c r="K104" s="14">
        <v>17</v>
      </c>
      <c r="L104" s="14">
        <v>0</v>
      </c>
      <c r="M104" s="14">
        <v>15</v>
      </c>
      <c r="N104" s="14">
        <v>52</v>
      </c>
      <c r="O104" s="14">
        <v>4</v>
      </c>
      <c r="P104" s="14">
        <v>1</v>
      </c>
      <c r="Q104" s="14">
        <v>40</v>
      </c>
      <c r="R104" s="14">
        <v>89</v>
      </c>
      <c r="S104" s="14">
        <v>0.25900000000000001</v>
      </c>
      <c r="T104" s="15">
        <v>0.33800000000000002</v>
      </c>
      <c r="U104" s="14">
        <v>0.434</v>
      </c>
      <c r="V104" s="14">
        <v>0.77100000000000002</v>
      </c>
      <c r="W104" s="14">
        <v>116</v>
      </c>
      <c r="X104" s="14">
        <v>0.34100000000000003</v>
      </c>
      <c r="Y104" s="14">
        <v>117</v>
      </c>
      <c r="Z104" s="14">
        <v>154</v>
      </c>
      <c r="AA104" s="14">
        <v>12</v>
      </c>
      <c r="AB104" s="14">
        <v>3</v>
      </c>
      <c r="AC104" s="14">
        <v>0</v>
      </c>
      <c r="AD104" s="14">
        <v>2</v>
      </c>
      <c r="AE104" s="14">
        <v>1</v>
      </c>
      <c r="AF104" s="14" t="s">
        <v>620</v>
      </c>
      <c r="AG104" s="14" t="s">
        <v>37</v>
      </c>
      <c r="AH104" s="14" t="s">
        <v>621</v>
      </c>
      <c r="AI104" s="14" t="s">
        <v>839</v>
      </c>
      <c r="AJ104" s="14" t="s">
        <v>824</v>
      </c>
      <c r="AK104" s="49">
        <f>IFERROR(VLOOKUP(B104,'MIN Salary 2024'!A9:I48,8,FALSE),"No salary data")</f>
        <v>660348</v>
      </c>
      <c r="AL104" s="13">
        <f t="shared" si="2"/>
        <v>507960</v>
      </c>
      <c r="AM104" s="13">
        <f t="shared" si="3"/>
        <v>5692.6551724137935</v>
      </c>
    </row>
    <row r="105" spans="1:39" x14ac:dyDescent="0.25">
      <c r="A105" s="15">
        <v>10</v>
      </c>
      <c r="B105" s="15" t="s">
        <v>622</v>
      </c>
      <c r="C105" s="15">
        <v>27</v>
      </c>
      <c r="D105" s="15" t="s">
        <v>70</v>
      </c>
      <c r="E105" s="15">
        <v>1.6</v>
      </c>
      <c r="F105" s="15">
        <v>158</v>
      </c>
      <c r="G105" s="15">
        <v>635</v>
      </c>
      <c r="H105" s="15">
        <v>558</v>
      </c>
      <c r="I105" s="15">
        <v>89</v>
      </c>
      <c r="J105" s="15">
        <v>138</v>
      </c>
      <c r="K105" s="15">
        <v>31</v>
      </c>
      <c r="L105" s="15">
        <v>5</v>
      </c>
      <c r="M105" s="15">
        <v>12</v>
      </c>
      <c r="N105" s="15">
        <v>60</v>
      </c>
      <c r="O105" s="15">
        <v>14</v>
      </c>
      <c r="P105" s="15">
        <v>9</v>
      </c>
      <c r="Q105" s="15">
        <v>51</v>
      </c>
      <c r="R105" s="15">
        <v>150</v>
      </c>
      <c r="S105" s="15">
        <v>0.247</v>
      </c>
      <c r="T105" s="15">
        <v>0.33100000000000002</v>
      </c>
      <c r="U105" s="15">
        <v>0.38500000000000001</v>
      </c>
      <c r="V105" s="15">
        <v>0.71699999999999997</v>
      </c>
      <c r="W105" s="15">
        <v>102</v>
      </c>
      <c r="X105" s="15">
        <v>0.32600000000000001</v>
      </c>
      <c r="Y105" s="15">
        <v>108</v>
      </c>
      <c r="Z105" s="15">
        <v>215</v>
      </c>
      <c r="AA105" s="15">
        <v>8</v>
      </c>
      <c r="AB105" s="15">
        <v>21</v>
      </c>
      <c r="AC105" s="15">
        <v>1</v>
      </c>
      <c r="AD105" s="15">
        <v>4</v>
      </c>
      <c r="AE105" s="15">
        <v>0</v>
      </c>
      <c r="AF105" s="15" t="s">
        <v>623</v>
      </c>
      <c r="AG105" s="15" t="s">
        <v>163</v>
      </c>
      <c r="AH105" s="15" t="s">
        <v>624</v>
      </c>
      <c r="AI105" s="15" t="s">
        <v>839</v>
      </c>
      <c r="AJ105" s="15" t="s">
        <v>824</v>
      </c>
      <c r="AK105" s="38">
        <v>3300000</v>
      </c>
      <c r="AL105" s="13">
        <f t="shared" si="2"/>
        <v>2062500</v>
      </c>
      <c r="AM105" s="13">
        <f t="shared" si="3"/>
        <v>32352.941176470587</v>
      </c>
    </row>
    <row r="106" spans="1:39" x14ac:dyDescent="0.25">
      <c r="A106" s="14">
        <v>11</v>
      </c>
      <c r="B106" s="14" t="s">
        <v>625</v>
      </c>
      <c r="C106" s="14">
        <v>25</v>
      </c>
      <c r="D106" s="14" t="s">
        <v>11</v>
      </c>
      <c r="E106" s="14">
        <v>0.7</v>
      </c>
      <c r="F106" s="14">
        <v>82</v>
      </c>
      <c r="G106" s="14">
        <v>325</v>
      </c>
      <c r="H106" s="14">
        <v>292</v>
      </c>
      <c r="I106" s="14">
        <v>40</v>
      </c>
      <c r="J106" s="14">
        <v>68</v>
      </c>
      <c r="K106" s="14">
        <v>16</v>
      </c>
      <c r="L106" s="14">
        <v>0</v>
      </c>
      <c r="M106" s="14">
        <v>16</v>
      </c>
      <c r="N106" s="14">
        <v>47</v>
      </c>
      <c r="O106" s="14">
        <v>0</v>
      </c>
      <c r="P106" s="14">
        <v>0</v>
      </c>
      <c r="Q106" s="14">
        <v>28</v>
      </c>
      <c r="R106" s="14">
        <v>74</v>
      </c>
      <c r="S106" s="14">
        <v>0.23300000000000001</v>
      </c>
      <c r="T106" s="15">
        <v>0.29499999999999998</v>
      </c>
      <c r="U106" s="14">
        <v>0.45200000000000001</v>
      </c>
      <c r="V106" s="14">
        <v>0.747</v>
      </c>
      <c r="W106" s="14">
        <v>107</v>
      </c>
      <c r="X106" s="14">
        <v>0.315</v>
      </c>
      <c r="Y106" s="14">
        <v>99</v>
      </c>
      <c r="Z106" s="14">
        <v>132</v>
      </c>
      <c r="AA106" s="14">
        <v>5</v>
      </c>
      <c r="AB106" s="14">
        <v>0</v>
      </c>
      <c r="AC106" s="14">
        <v>0</v>
      </c>
      <c r="AD106" s="14">
        <v>5</v>
      </c>
      <c r="AE106" s="14">
        <v>2</v>
      </c>
      <c r="AF106" s="14" t="s">
        <v>626</v>
      </c>
      <c r="AG106" s="14" t="s">
        <v>37</v>
      </c>
      <c r="AH106" s="14" t="s">
        <v>627</v>
      </c>
      <c r="AI106" s="14" t="s">
        <v>839</v>
      </c>
      <c r="AJ106" s="14" t="s">
        <v>824</v>
      </c>
      <c r="AK106" s="49">
        <f>IFERROR(VLOOKUP(B106,'MIN Salary 2024'!A11:I50,8,FALSE),"No salary data")</f>
        <v>745700</v>
      </c>
      <c r="AL106" s="13">
        <f t="shared" si="2"/>
        <v>1065285.7142857143</v>
      </c>
      <c r="AM106" s="13">
        <f t="shared" si="3"/>
        <v>6969.1588785046733</v>
      </c>
    </row>
    <row r="107" spans="1:39" hidden="1" x14ac:dyDescent="0.25">
      <c r="A107" s="15">
        <v>12</v>
      </c>
      <c r="B107" s="15" t="s">
        <v>628</v>
      </c>
      <c r="C107" s="15">
        <v>33</v>
      </c>
      <c r="D107" s="15" t="s">
        <v>35</v>
      </c>
      <c r="E107" s="15">
        <v>-0.2</v>
      </c>
      <c r="F107" s="15">
        <v>93</v>
      </c>
      <c r="G107" s="15">
        <v>315</v>
      </c>
      <c r="H107" s="15">
        <v>294</v>
      </c>
      <c r="I107" s="15">
        <v>29</v>
      </c>
      <c r="J107" s="15">
        <v>65</v>
      </c>
      <c r="K107" s="15">
        <v>10</v>
      </c>
      <c r="L107" s="15">
        <v>0</v>
      </c>
      <c r="M107" s="15">
        <v>7</v>
      </c>
      <c r="N107" s="15">
        <v>27</v>
      </c>
      <c r="O107" s="15">
        <v>3</v>
      </c>
      <c r="P107" s="15">
        <v>1</v>
      </c>
      <c r="Q107" s="15">
        <v>11</v>
      </c>
      <c r="R107" s="15">
        <v>65</v>
      </c>
      <c r="S107" s="15">
        <v>0.221</v>
      </c>
      <c r="T107" s="15">
        <v>0.248</v>
      </c>
      <c r="U107" s="15">
        <v>0.32700000000000001</v>
      </c>
      <c r="V107" s="15">
        <v>0.57499999999999996</v>
      </c>
      <c r="W107" s="15">
        <v>60</v>
      </c>
      <c r="X107" s="15">
        <v>0.26200000000000001</v>
      </c>
      <c r="Y107" s="15">
        <v>60</v>
      </c>
      <c r="Z107" s="15">
        <v>96</v>
      </c>
      <c r="AA107" s="15">
        <v>11</v>
      </c>
      <c r="AB107" s="15">
        <v>1</v>
      </c>
      <c r="AC107" s="15">
        <v>5</v>
      </c>
      <c r="AD107" s="15">
        <v>4</v>
      </c>
      <c r="AE107" s="15">
        <v>0</v>
      </c>
      <c r="AF107" s="15" t="s">
        <v>629</v>
      </c>
      <c r="AG107" s="15" t="s">
        <v>37</v>
      </c>
      <c r="AH107" s="15" t="s">
        <v>630</v>
      </c>
      <c r="AI107" s="15" t="s">
        <v>839</v>
      </c>
      <c r="AJ107" s="15" t="s">
        <v>824</v>
      </c>
      <c r="AK107" s="49" t="str">
        <f>IFERROR(VLOOKUP(B107,'MIN Salary 2024'!A12:I51,8,FALSE),"No salary data")</f>
        <v>No salary data</v>
      </c>
      <c r="AL107" s="125" t="e">
        <f t="shared" si="2"/>
        <v>#VALUE!</v>
      </c>
      <c r="AM107" s="13" t="e">
        <f t="shared" si="3"/>
        <v>#VALUE!</v>
      </c>
    </row>
    <row r="108" spans="1:39" x14ac:dyDescent="0.25">
      <c r="A108" s="14">
        <v>13</v>
      </c>
      <c r="B108" s="14" t="s">
        <v>631</v>
      </c>
      <c r="C108" s="14">
        <v>26</v>
      </c>
      <c r="D108" s="14" t="s">
        <v>74</v>
      </c>
      <c r="E108" s="14">
        <v>2.2000000000000002</v>
      </c>
      <c r="F108" s="14">
        <v>75</v>
      </c>
      <c r="G108" s="14">
        <v>261</v>
      </c>
      <c r="H108" s="14">
        <v>220</v>
      </c>
      <c r="I108" s="14">
        <v>26</v>
      </c>
      <c r="J108" s="14">
        <v>57</v>
      </c>
      <c r="K108" s="14">
        <v>17</v>
      </c>
      <c r="L108" s="14">
        <v>1</v>
      </c>
      <c r="M108" s="14">
        <v>13</v>
      </c>
      <c r="N108" s="14">
        <v>37</v>
      </c>
      <c r="O108" s="14">
        <v>3</v>
      </c>
      <c r="P108" s="14">
        <v>0</v>
      </c>
      <c r="Q108" s="14">
        <v>24</v>
      </c>
      <c r="R108" s="14">
        <v>95</v>
      </c>
      <c r="S108" s="14">
        <v>0.25900000000000001</v>
      </c>
      <c r="T108" s="15">
        <v>0.372</v>
      </c>
      <c r="U108" s="14">
        <v>0.52300000000000002</v>
      </c>
      <c r="V108" s="14">
        <v>0.89400000000000002</v>
      </c>
      <c r="W108" s="14">
        <v>149</v>
      </c>
      <c r="X108" s="14">
        <v>0.38700000000000001</v>
      </c>
      <c r="Y108" s="14">
        <v>149</v>
      </c>
      <c r="Z108" s="14">
        <v>115</v>
      </c>
      <c r="AA108" s="14">
        <v>2</v>
      </c>
      <c r="AB108" s="14">
        <v>16</v>
      </c>
      <c r="AC108" s="14">
        <v>0</v>
      </c>
      <c r="AD108" s="14">
        <v>1</v>
      </c>
      <c r="AE108" s="14">
        <v>0</v>
      </c>
      <c r="AF108" s="14" t="s">
        <v>632</v>
      </c>
      <c r="AG108" s="14" t="s">
        <v>37</v>
      </c>
      <c r="AH108" s="14" t="s">
        <v>633</v>
      </c>
      <c r="AI108" s="14" t="s">
        <v>839</v>
      </c>
      <c r="AJ108" s="14" t="s">
        <v>824</v>
      </c>
      <c r="AK108" s="49">
        <f>IFERROR(VLOOKUP(B108,'MIN Salary 2024'!A13:I52,8,FALSE),"No salary data")</f>
        <v>416832</v>
      </c>
      <c r="AL108" s="13">
        <f t="shared" si="2"/>
        <v>189469.09090909088</v>
      </c>
      <c r="AM108" s="13">
        <f t="shared" si="3"/>
        <v>2797.530201342282</v>
      </c>
    </row>
    <row r="109" spans="1:39" x14ac:dyDescent="0.25">
      <c r="A109" s="15">
        <v>14</v>
      </c>
      <c r="B109" s="15" t="s">
        <v>634</v>
      </c>
      <c r="C109" s="15">
        <v>25</v>
      </c>
      <c r="D109" s="15" t="s">
        <v>74</v>
      </c>
      <c r="E109" s="15">
        <v>-1</v>
      </c>
      <c r="F109" s="15">
        <v>93</v>
      </c>
      <c r="G109" s="15">
        <v>257</v>
      </c>
      <c r="H109" s="15">
        <v>233</v>
      </c>
      <c r="I109" s="15">
        <v>41</v>
      </c>
      <c r="J109" s="15">
        <v>59</v>
      </c>
      <c r="K109" s="15">
        <v>18</v>
      </c>
      <c r="L109" s="15">
        <v>1</v>
      </c>
      <c r="M109" s="15">
        <v>1</v>
      </c>
      <c r="N109" s="15">
        <v>16</v>
      </c>
      <c r="O109" s="15">
        <v>7</v>
      </c>
      <c r="P109" s="15">
        <v>3</v>
      </c>
      <c r="Q109" s="15">
        <v>20</v>
      </c>
      <c r="R109" s="15">
        <v>47</v>
      </c>
      <c r="S109" s="15">
        <v>0.253</v>
      </c>
      <c r="T109" s="15">
        <v>0.318</v>
      </c>
      <c r="U109" s="15">
        <v>0.35199999999999998</v>
      </c>
      <c r="V109" s="15">
        <v>0.67</v>
      </c>
      <c r="W109" s="15">
        <v>89</v>
      </c>
      <c r="X109" s="15">
        <v>0.29899999999999999</v>
      </c>
      <c r="Y109" s="15">
        <v>87</v>
      </c>
      <c r="Z109" s="15">
        <v>82</v>
      </c>
      <c r="AA109" s="15">
        <v>4</v>
      </c>
      <c r="AB109" s="15">
        <v>2</v>
      </c>
      <c r="AC109" s="15">
        <v>2</v>
      </c>
      <c r="AD109" s="15">
        <v>0</v>
      </c>
      <c r="AE109" s="15">
        <v>0</v>
      </c>
      <c r="AF109" s="15" t="s">
        <v>635</v>
      </c>
      <c r="AG109" s="15" t="s">
        <v>37</v>
      </c>
      <c r="AH109" s="15" t="s">
        <v>636</v>
      </c>
      <c r="AI109" s="15" t="s">
        <v>839</v>
      </c>
      <c r="AJ109" s="15" t="s">
        <v>824</v>
      </c>
      <c r="AK109" s="49">
        <f>IFERROR(VLOOKUP(B109,'MIN Salary 2024'!A14:I53,8,FALSE),"No salary data")</f>
        <v>560898</v>
      </c>
      <c r="AL109" s="13">
        <f t="shared" si="2"/>
        <v>-560898</v>
      </c>
      <c r="AM109" s="13">
        <f t="shared" si="3"/>
        <v>6302.2247191011238</v>
      </c>
    </row>
    <row r="110" spans="1:39" hidden="1" x14ac:dyDescent="0.25">
      <c r="A110" s="14">
        <v>15</v>
      </c>
      <c r="B110" s="14" t="s">
        <v>637</v>
      </c>
      <c r="C110" s="14">
        <v>33</v>
      </c>
      <c r="D110" s="14" t="s">
        <v>108</v>
      </c>
      <c r="E110" s="14">
        <v>-0.3</v>
      </c>
      <c r="F110" s="14">
        <v>107</v>
      </c>
      <c r="G110" s="14">
        <v>242</v>
      </c>
      <c r="H110" s="14">
        <v>215</v>
      </c>
      <c r="I110" s="14">
        <v>26</v>
      </c>
      <c r="J110" s="14">
        <v>46</v>
      </c>
      <c r="K110" s="14">
        <v>13</v>
      </c>
      <c r="L110" s="14">
        <v>1</v>
      </c>
      <c r="M110" s="14">
        <v>5</v>
      </c>
      <c r="N110" s="14">
        <v>25</v>
      </c>
      <c r="O110" s="14">
        <v>3</v>
      </c>
      <c r="P110" s="14">
        <v>5</v>
      </c>
      <c r="Q110" s="14">
        <v>19</v>
      </c>
      <c r="R110" s="14">
        <v>49</v>
      </c>
      <c r="S110" s="14">
        <v>0.214</v>
      </c>
      <c r="T110" s="14">
        <v>0.29299999999999998</v>
      </c>
      <c r="U110" s="14">
        <v>0.35299999999999998</v>
      </c>
      <c r="V110" s="14">
        <v>0.64700000000000002</v>
      </c>
      <c r="W110" s="14">
        <v>82</v>
      </c>
      <c r="X110" s="14">
        <v>0.28100000000000003</v>
      </c>
      <c r="Y110" s="14">
        <v>80</v>
      </c>
      <c r="Z110" s="14">
        <v>76</v>
      </c>
      <c r="AA110" s="14">
        <v>6</v>
      </c>
      <c r="AB110" s="14">
        <v>6</v>
      </c>
      <c r="AC110" s="14">
        <v>0</v>
      </c>
      <c r="AD110" s="14">
        <v>2</v>
      </c>
      <c r="AE110" s="14">
        <v>1</v>
      </c>
      <c r="AF110" s="14" t="s">
        <v>638</v>
      </c>
      <c r="AG110" s="14" t="s">
        <v>37</v>
      </c>
      <c r="AH110" s="14" t="s">
        <v>639</v>
      </c>
      <c r="AI110" s="14" t="s">
        <v>839</v>
      </c>
      <c r="AJ110" s="14" t="s">
        <v>824</v>
      </c>
      <c r="AK110" s="49" t="str">
        <f>IFERROR(VLOOKUP(B110,'MIN Salary 2024'!A15:I54,8,FALSE),"No salary data")</f>
        <v>No salary data</v>
      </c>
      <c r="AL110" s="125" t="e">
        <f t="shared" si="2"/>
        <v>#VALUE!</v>
      </c>
      <c r="AM110" s="13" t="e">
        <f t="shared" si="3"/>
        <v>#VALUE!</v>
      </c>
    </row>
    <row r="111" spans="1:39" hidden="1" x14ac:dyDescent="0.25">
      <c r="A111" s="15">
        <v>16</v>
      </c>
      <c r="B111" s="15" t="s">
        <v>640</v>
      </c>
      <c r="C111" s="15">
        <v>23</v>
      </c>
      <c r="D111" s="15" t="s">
        <v>47</v>
      </c>
      <c r="E111" s="15">
        <v>-0.2</v>
      </c>
      <c r="F111" s="15">
        <v>50</v>
      </c>
      <c r="G111" s="15">
        <v>185</v>
      </c>
      <c r="H111" s="15">
        <v>172</v>
      </c>
      <c r="I111" s="15">
        <v>9</v>
      </c>
      <c r="J111" s="15">
        <v>38</v>
      </c>
      <c r="K111" s="15">
        <v>6</v>
      </c>
      <c r="L111" s="15">
        <v>1</v>
      </c>
      <c r="M111" s="15">
        <v>3</v>
      </c>
      <c r="N111" s="15">
        <v>27</v>
      </c>
      <c r="O111" s="15">
        <v>3</v>
      </c>
      <c r="P111" s="15">
        <v>0</v>
      </c>
      <c r="Q111" s="15">
        <v>11</v>
      </c>
      <c r="R111" s="15">
        <v>27</v>
      </c>
      <c r="S111" s="15">
        <v>0.221</v>
      </c>
      <c r="T111" s="15">
        <v>0.26500000000000001</v>
      </c>
      <c r="U111" s="15">
        <v>0.32</v>
      </c>
      <c r="V111" s="15">
        <v>0.58499999999999996</v>
      </c>
      <c r="W111" s="15">
        <v>64</v>
      </c>
      <c r="X111" s="15">
        <v>0.25600000000000001</v>
      </c>
      <c r="Y111" s="15">
        <v>53</v>
      </c>
      <c r="Z111" s="15">
        <v>55</v>
      </c>
      <c r="AA111" s="15">
        <v>6</v>
      </c>
      <c r="AB111" s="15">
        <v>0</v>
      </c>
      <c r="AC111" s="15">
        <v>0</v>
      </c>
      <c r="AD111" s="15">
        <v>2</v>
      </c>
      <c r="AE111" s="15">
        <v>2</v>
      </c>
      <c r="AF111" s="15" t="s">
        <v>641</v>
      </c>
      <c r="AG111" s="15" t="s">
        <v>37</v>
      </c>
      <c r="AH111" s="15" t="s">
        <v>642</v>
      </c>
      <c r="AI111" s="15" t="s">
        <v>839</v>
      </c>
      <c r="AJ111" s="15" t="s">
        <v>824</v>
      </c>
      <c r="AK111" s="49" t="str">
        <f>IFERROR(VLOOKUP(B111,'MIN Salary 2024'!A16:I55,8,FALSE),"No salary data")</f>
        <v>No salary data</v>
      </c>
      <c r="AL111" s="125" t="e">
        <f t="shared" si="2"/>
        <v>#VALUE!</v>
      </c>
      <c r="AM111" s="13" t="e">
        <f t="shared" si="3"/>
        <v>#VALUE!</v>
      </c>
    </row>
    <row r="112" spans="1:39" hidden="1" x14ac:dyDescent="0.25">
      <c r="A112" s="14">
        <v>17</v>
      </c>
      <c r="B112" s="14" t="s">
        <v>643</v>
      </c>
      <c r="C112" s="14">
        <v>26</v>
      </c>
      <c r="D112" s="14" t="s">
        <v>70</v>
      </c>
      <c r="E112" s="14">
        <v>-0.6</v>
      </c>
      <c r="F112" s="14">
        <v>57</v>
      </c>
      <c r="G112" s="14">
        <v>178</v>
      </c>
      <c r="H112" s="14">
        <v>159</v>
      </c>
      <c r="I112" s="14">
        <v>20</v>
      </c>
      <c r="J112" s="14">
        <v>32</v>
      </c>
      <c r="K112" s="14">
        <v>8</v>
      </c>
      <c r="L112" s="14">
        <v>3</v>
      </c>
      <c r="M112" s="14">
        <v>5</v>
      </c>
      <c r="N112" s="14">
        <v>20</v>
      </c>
      <c r="O112" s="14">
        <v>0</v>
      </c>
      <c r="P112" s="14">
        <v>0</v>
      </c>
      <c r="Q112" s="14">
        <v>15</v>
      </c>
      <c r="R112" s="14">
        <v>47</v>
      </c>
      <c r="S112" s="14">
        <v>0.20100000000000001</v>
      </c>
      <c r="T112" s="14">
        <v>0.27</v>
      </c>
      <c r="U112" s="14">
        <v>0.38400000000000001</v>
      </c>
      <c r="V112" s="14">
        <v>0.65300000000000002</v>
      </c>
      <c r="W112" s="14">
        <v>81</v>
      </c>
      <c r="X112" s="14">
        <v>0.28699999999999998</v>
      </c>
      <c r="Y112" s="14">
        <v>79</v>
      </c>
      <c r="Z112" s="14">
        <v>61</v>
      </c>
      <c r="AA112" s="14">
        <v>5</v>
      </c>
      <c r="AB112" s="14">
        <v>1</v>
      </c>
      <c r="AC112" s="14">
        <v>0</v>
      </c>
      <c r="AD112" s="14">
        <v>3</v>
      </c>
      <c r="AE112" s="14">
        <v>0</v>
      </c>
      <c r="AF112" s="14" t="s">
        <v>644</v>
      </c>
      <c r="AG112" s="14" t="s">
        <v>37</v>
      </c>
      <c r="AH112" s="14" t="s">
        <v>645</v>
      </c>
      <c r="AI112" s="14" t="s">
        <v>839</v>
      </c>
      <c r="AJ112" s="14" t="s">
        <v>824</v>
      </c>
      <c r="AK112" s="49" t="str">
        <f>IFERROR(VLOOKUP(B112,'MIN Salary 2024'!A17:I56,8,FALSE),"No salary data")</f>
        <v>No salary data</v>
      </c>
      <c r="AL112" s="125" t="e">
        <f t="shared" si="2"/>
        <v>#VALUE!</v>
      </c>
      <c r="AM112" s="13" t="e">
        <f t="shared" si="3"/>
        <v>#VALUE!</v>
      </c>
    </row>
    <row r="113" spans="1:39" hidden="1" x14ac:dyDescent="0.25">
      <c r="A113" s="15">
        <v>18</v>
      </c>
      <c r="B113" s="15" t="s">
        <v>646</v>
      </c>
      <c r="C113" s="15">
        <v>27</v>
      </c>
      <c r="D113" s="15" t="s">
        <v>58</v>
      </c>
      <c r="E113" s="15">
        <v>0</v>
      </c>
      <c r="F113" s="15">
        <v>6</v>
      </c>
      <c r="G113" s="15">
        <v>14</v>
      </c>
      <c r="H113" s="15">
        <v>13</v>
      </c>
      <c r="I113" s="15">
        <v>1</v>
      </c>
      <c r="J113" s="15">
        <v>2</v>
      </c>
      <c r="K113" s="15">
        <v>0</v>
      </c>
      <c r="L113" s="15">
        <v>0</v>
      </c>
      <c r="M113" s="15">
        <v>1</v>
      </c>
      <c r="N113" s="15">
        <v>1</v>
      </c>
      <c r="O113" s="15">
        <v>0</v>
      </c>
      <c r="P113" s="15">
        <v>0</v>
      </c>
      <c r="Q113" s="15">
        <v>0</v>
      </c>
      <c r="R113" s="15">
        <v>1</v>
      </c>
      <c r="S113" s="15">
        <v>0.154</v>
      </c>
      <c r="T113" s="15">
        <v>0.214</v>
      </c>
      <c r="U113" s="15">
        <v>0.38500000000000001</v>
      </c>
      <c r="V113" s="15">
        <v>0.59899999999999998</v>
      </c>
      <c r="W113" s="15">
        <v>64</v>
      </c>
      <c r="X113" s="15">
        <v>0.254</v>
      </c>
      <c r="Y113" s="15">
        <v>55</v>
      </c>
      <c r="Z113" s="15">
        <v>5</v>
      </c>
      <c r="AA113" s="15">
        <v>0</v>
      </c>
      <c r="AB113" s="15">
        <v>1</v>
      </c>
      <c r="AC113" s="15">
        <v>0</v>
      </c>
      <c r="AD113" s="15">
        <v>0</v>
      </c>
      <c r="AE113" s="15">
        <v>0</v>
      </c>
      <c r="AF113" s="15" t="s">
        <v>647</v>
      </c>
      <c r="AG113" s="15" t="s">
        <v>37</v>
      </c>
      <c r="AH113" s="15" t="s">
        <v>648</v>
      </c>
      <c r="AI113" s="15" t="s">
        <v>839</v>
      </c>
      <c r="AJ113" s="15" t="s">
        <v>824</v>
      </c>
      <c r="AK113" s="49" t="str">
        <f>IFERROR(VLOOKUP(B113,'MIN Salary 2024'!A18:I57,8,FALSE),"No salary data")</f>
        <v>No salary data</v>
      </c>
      <c r="AL113" s="125" t="e">
        <f t="shared" si="2"/>
        <v>#VALUE!</v>
      </c>
      <c r="AM113" s="13" t="e">
        <f t="shared" si="3"/>
        <v>#VALUE!</v>
      </c>
    </row>
    <row r="114" spans="1:39" x14ac:dyDescent="0.25">
      <c r="A114" s="14">
        <v>19</v>
      </c>
      <c r="B114" s="14" t="s">
        <v>649</v>
      </c>
      <c r="C114" s="14">
        <v>28</v>
      </c>
      <c r="D114" s="14" t="s">
        <v>70</v>
      </c>
      <c r="E114" s="14">
        <v>0.1</v>
      </c>
      <c r="F114" s="14">
        <v>9</v>
      </c>
      <c r="G114" s="14">
        <v>10</v>
      </c>
      <c r="H114" s="14">
        <v>10</v>
      </c>
      <c r="I114" s="14">
        <v>2</v>
      </c>
      <c r="J114" s="14">
        <v>3</v>
      </c>
      <c r="K114" s="14">
        <v>2</v>
      </c>
      <c r="L114" s="14">
        <v>0</v>
      </c>
      <c r="M114" s="14">
        <v>0</v>
      </c>
      <c r="N114" s="14">
        <v>0</v>
      </c>
      <c r="O114" s="14">
        <v>0</v>
      </c>
      <c r="P114" s="14">
        <v>0</v>
      </c>
      <c r="Q114" s="14">
        <v>0</v>
      </c>
      <c r="R114" s="14">
        <v>3</v>
      </c>
      <c r="S114" s="14">
        <v>0.3</v>
      </c>
      <c r="T114" s="15">
        <v>0.3</v>
      </c>
      <c r="U114" s="14">
        <v>0.5</v>
      </c>
      <c r="V114" s="14">
        <v>0.8</v>
      </c>
      <c r="W114" s="14">
        <v>120</v>
      </c>
      <c r="X114" s="14">
        <v>0.32900000000000001</v>
      </c>
      <c r="Y114" s="14">
        <v>109</v>
      </c>
      <c r="Z114" s="14">
        <v>5</v>
      </c>
      <c r="AA114" s="14">
        <v>0</v>
      </c>
      <c r="AB114" s="14">
        <v>0</v>
      </c>
      <c r="AC114" s="14">
        <v>0</v>
      </c>
      <c r="AD114" s="14">
        <v>0</v>
      </c>
      <c r="AE114" s="14">
        <v>0</v>
      </c>
      <c r="AF114" s="14" t="s">
        <v>650</v>
      </c>
      <c r="AG114" s="14" t="s">
        <v>37</v>
      </c>
      <c r="AH114" s="14" t="s">
        <v>651</v>
      </c>
      <c r="AI114" s="14" t="s">
        <v>839</v>
      </c>
      <c r="AJ114" s="14" t="s">
        <v>824</v>
      </c>
      <c r="AK114" s="49">
        <f>IFERROR(VLOOKUP(B114,'MIN Salary 2024'!A19:I58,8,FALSE),"No salary data")</f>
        <v>51714</v>
      </c>
      <c r="AL114" s="13">
        <f t="shared" si="2"/>
        <v>517140</v>
      </c>
      <c r="AM114" s="13">
        <f t="shared" si="3"/>
        <v>430.95</v>
      </c>
    </row>
    <row r="115" spans="1:39" hidden="1" x14ac:dyDescent="0.25">
      <c r="A115" s="15">
        <v>20</v>
      </c>
      <c r="B115" s="15" t="s">
        <v>652</v>
      </c>
      <c r="C115" s="15">
        <v>26</v>
      </c>
      <c r="D115" s="15" t="s">
        <v>11</v>
      </c>
      <c r="E115" s="15">
        <v>0.2</v>
      </c>
      <c r="F115" s="15">
        <v>4</v>
      </c>
      <c r="G115" s="15">
        <v>8</v>
      </c>
      <c r="H115" s="15">
        <v>6</v>
      </c>
      <c r="I115" s="15">
        <v>3</v>
      </c>
      <c r="J115" s="15">
        <v>2</v>
      </c>
      <c r="K115" s="15">
        <v>1</v>
      </c>
      <c r="L115" s="15">
        <v>0</v>
      </c>
      <c r="M115" s="15">
        <v>0</v>
      </c>
      <c r="N115" s="15">
        <v>2</v>
      </c>
      <c r="O115" s="15">
        <v>0</v>
      </c>
      <c r="P115" s="15">
        <v>0</v>
      </c>
      <c r="Q115" s="15">
        <v>2</v>
      </c>
      <c r="R115" s="15">
        <v>1</v>
      </c>
      <c r="S115" s="15">
        <v>0.33300000000000002</v>
      </c>
      <c r="T115" s="15">
        <v>0.5</v>
      </c>
      <c r="U115" s="15">
        <v>0.5</v>
      </c>
      <c r="V115" s="15">
        <v>1</v>
      </c>
      <c r="W115" s="15">
        <v>184</v>
      </c>
      <c r="X115" s="15">
        <v>0.439</v>
      </c>
      <c r="Y115" s="15">
        <v>189</v>
      </c>
      <c r="Z115" s="15">
        <v>3</v>
      </c>
      <c r="AA115" s="15">
        <v>0</v>
      </c>
      <c r="AB115" s="15">
        <v>0</v>
      </c>
      <c r="AC115" s="15">
        <v>0</v>
      </c>
      <c r="AD115" s="15">
        <v>0</v>
      </c>
      <c r="AE115" s="15">
        <v>0</v>
      </c>
      <c r="AF115" s="15" t="s">
        <v>290</v>
      </c>
      <c r="AG115" s="15" t="s">
        <v>37</v>
      </c>
      <c r="AH115" s="15" t="s">
        <v>653</v>
      </c>
      <c r="AI115" s="15" t="s">
        <v>839</v>
      </c>
      <c r="AJ115" s="15" t="s">
        <v>824</v>
      </c>
      <c r="AK115" s="49" t="str">
        <f>IFERROR(VLOOKUP(B115,'MIN Salary 2024'!A20:I59,8,FALSE),"No salary data")</f>
        <v>No salary data</v>
      </c>
      <c r="AL115" s="125" t="e">
        <f t="shared" si="2"/>
        <v>#VALUE!</v>
      </c>
      <c r="AM115" s="13" t="e">
        <f t="shared" si="3"/>
        <v>#VALUE!</v>
      </c>
    </row>
    <row r="116" spans="1:39" hidden="1" x14ac:dyDescent="0.25">
      <c r="A116" s="16">
        <v>21</v>
      </c>
      <c r="B116" s="16" t="s">
        <v>654</v>
      </c>
      <c r="C116" s="16">
        <v>24</v>
      </c>
      <c r="D116" s="16" t="s">
        <v>66</v>
      </c>
      <c r="E116" s="16">
        <v>-0.1</v>
      </c>
      <c r="F116" s="16">
        <v>5</v>
      </c>
      <c r="G116" s="16">
        <v>7</v>
      </c>
      <c r="H116" s="16">
        <v>6</v>
      </c>
      <c r="I116" s="16">
        <v>1</v>
      </c>
      <c r="J116" s="16">
        <v>0</v>
      </c>
      <c r="K116" s="16">
        <v>0</v>
      </c>
      <c r="L116" s="16">
        <v>0</v>
      </c>
      <c r="M116" s="16">
        <v>0</v>
      </c>
      <c r="N116" s="16">
        <v>0</v>
      </c>
      <c r="O116" s="16">
        <v>0</v>
      </c>
      <c r="P116" s="16">
        <v>0</v>
      </c>
      <c r="Q116" s="16">
        <v>1</v>
      </c>
      <c r="R116" s="16">
        <v>3</v>
      </c>
      <c r="S116" s="16">
        <v>0</v>
      </c>
      <c r="T116" s="16">
        <v>0.14299999999999999</v>
      </c>
      <c r="U116" s="16">
        <v>0</v>
      </c>
      <c r="V116" s="16">
        <v>0.14299999999999999</v>
      </c>
      <c r="W116" s="16">
        <v>-54</v>
      </c>
      <c r="X116" s="16">
        <v>9.8000000000000004E-2</v>
      </c>
      <c r="Y116" s="16">
        <v>-57</v>
      </c>
      <c r="Z116" s="16">
        <v>0</v>
      </c>
      <c r="AA116" s="16">
        <v>0</v>
      </c>
      <c r="AB116" s="16">
        <v>0</v>
      </c>
      <c r="AC116" s="16">
        <v>0</v>
      </c>
      <c r="AD116" s="16">
        <v>0</v>
      </c>
      <c r="AE116" s="16">
        <v>0</v>
      </c>
      <c r="AF116" s="16" t="s">
        <v>655</v>
      </c>
      <c r="AG116" s="16" t="s">
        <v>37</v>
      </c>
      <c r="AH116" s="16" t="s">
        <v>656</v>
      </c>
      <c r="AI116" s="16" t="s">
        <v>839</v>
      </c>
      <c r="AJ116" s="16" t="s">
        <v>824</v>
      </c>
      <c r="AK116" s="49" t="str">
        <f>IFERROR(VLOOKUP(B116,'MIN Salary 2024'!A21:I60,8,FALSE),"No salary data")</f>
        <v>No salary data</v>
      </c>
      <c r="AL116" s="125" t="e">
        <f t="shared" si="2"/>
        <v>#VALUE!</v>
      </c>
      <c r="AM116" s="13" t="e">
        <f t="shared" si="3"/>
        <v>#VALUE!</v>
      </c>
    </row>
    <row r="119" spans="1:39" x14ac:dyDescent="0.25">
      <c r="A119" t="s">
        <v>847</v>
      </c>
    </row>
    <row r="120" spans="1:39" x14ac:dyDescent="0.25">
      <c r="A120" t="s">
        <v>817</v>
      </c>
      <c r="B120" t="s">
        <v>844</v>
      </c>
      <c r="C120" t="s">
        <v>845</v>
      </c>
      <c r="D120" t="s">
        <v>841</v>
      </c>
    </row>
    <row r="121" spans="1:39" x14ac:dyDescent="0.25">
      <c r="A121" t="s">
        <v>820</v>
      </c>
      <c r="B121">
        <f>SUM(E2:E26)</f>
        <v>-2.2000000000000002</v>
      </c>
      <c r="C121" s="1">
        <f>SUM($AK$2:$AK$26)</f>
        <v>41036008</v>
      </c>
      <c r="D121" s="13">
        <f>C121/B121</f>
        <v>-18652730.909090906</v>
      </c>
    </row>
    <row r="122" spans="1:39" x14ac:dyDescent="0.25">
      <c r="A122" t="s">
        <v>821</v>
      </c>
      <c r="B122">
        <f>SUM(E31:E51)</f>
        <v>21.099999999999998</v>
      </c>
      <c r="C122" s="1">
        <f>SUM($AK$31:$AK$51)</f>
        <v>32901509</v>
      </c>
      <c r="D122" s="13">
        <f>C122/B122</f>
        <v>1559313.2227488153</v>
      </c>
    </row>
    <row r="123" spans="1:39" x14ac:dyDescent="0.25">
      <c r="A123" t="s">
        <v>822</v>
      </c>
      <c r="B123">
        <f>SUM(E52:E69)</f>
        <v>17.499999999999996</v>
      </c>
      <c r="C123" s="1">
        <f>SUM($AK$52:$AK$69)</f>
        <v>32927664</v>
      </c>
      <c r="D123" s="13">
        <f>C123/B123</f>
        <v>1881580.8000000003</v>
      </c>
    </row>
    <row r="124" spans="1:39" x14ac:dyDescent="0.25">
      <c r="A124" t="s">
        <v>823</v>
      </c>
      <c r="B124">
        <f>SUM(E75:E89)</f>
        <v>20.9</v>
      </c>
      <c r="C124" s="1">
        <f>SUM($AK$75:$AK$89)</f>
        <v>28343401</v>
      </c>
      <c r="D124" s="13">
        <f>C124/B124</f>
        <v>1356143.5885167464</v>
      </c>
    </row>
    <row r="125" spans="1:39" x14ac:dyDescent="0.25">
      <c r="A125" t="s">
        <v>824</v>
      </c>
      <c r="B125">
        <f>SUM(E96:E114)</f>
        <v>17.099999999999998</v>
      </c>
      <c r="C125" s="1">
        <f>SUM($AK$96:$AK$114)</f>
        <v>61475625</v>
      </c>
      <c r="D125" s="13">
        <f>C125/B125</f>
        <v>3595065.7894736845</v>
      </c>
    </row>
    <row r="131" spans="1:9" x14ac:dyDescent="0.25">
      <c r="A131" t="s">
        <v>848</v>
      </c>
      <c r="B131" t="s">
        <v>817</v>
      </c>
      <c r="C131" t="s">
        <v>853</v>
      </c>
      <c r="D131" t="s">
        <v>849</v>
      </c>
      <c r="E131" t="s">
        <v>854</v>
      </c>
      <c r="F131" t="s">
        <v>850</v>
      </c>
      <c r="G131" t="s">
        <v>851</v>
      </c>
      <c r="H131" t="s">
        <v>852</v>
      </c>
      <c r="I131" t="s">
        <v>841</v>
      </c>
    </row>
    <row r="132" spans="1:9" x14ac:dyDescent="0.25">
      <c r="B132" t="s">
        <v>820</v>
      </c>
      <c r="C132">
        <f>SUM(E2:E26)</f>
        <v>-2.2000000000000002</v>
      </c>
      <c r="D132" s="1">
        <f>SUM($AK$2:$AK$26)</f>
        <v>41036008</v>
      </c>
      <c r="E132">
        <f>'Pitcher Data'!AV3</f>
        <v>13.5</v>
      </c>
      <c r="F132" s="1">
        <f>'Pitcher Data'!AW3</f>
        <v>13195009</v>
      </c>
      <c r="G132">
        <f t="shared" ref="G132:H136" si="4">E132+C132</f>
        <v>11.3</v>
      </c>
      <c r="H132" s="1">
        <f t="shared" si="4"/>
        <v>54231017</v>
      </c>
      <c r="I132" s="13">
        <f>H132/G132</f>
        <v>4799205.0442477874</v>
      </c>
    </row>
    <row r="133" spans="1:9" x14ac:dyDescent="0.25">
      <c r="B133" t="s">
        <v>821</v>
      </c>
      <c r="C133">
        <f>SUM(E31:E51)</f>
        <v>21.099999999999998</v>
      </c>
      <c r="D133" s="1">
        <f>SUM($AK$31:$AK$51)</f>
        <v>32901509</v>
      </c>
      <c r="E133">
        <f>'Pitcher Data'!AV10</f>
        <v>15.899999999999997</v>
      </c>
      <c r="F133" s="1">
        <f>'Pitcher Data'!AW10</f>
        <v>6917763</v>
      </c>
      <c r="G133">
        <f t="shared" si="4"/>
        <v>36.999999999999993</v>
      </c>
      <c r="H133" s="1">
        <f t="shared" si="4"/>
        <v>39819272</v>
      </c>
      <c r="I133" s="13">
        <f>H133/G133</f>
        <v>1076196.5405405408</v>
      </c>
    </row>
    <row r="134" spans="1:9" x14ac:dyDescent="0.25">
      <c r="B134" t="s">
        <v>822</v>
      </c>
      <c r="C134">
        <f>SUM(E52:E69)</f>
        <v>17.499999999999996</v>
      </c>
      <c r="D134" s="1">
        <f>SUM($AK$52:$AK$69)</f>
        <v>32927664</v>
      </c>
      <c r="E134">
        <f>'Pitcher Data'!AV11</f>
        <v>18.099999999999994</v>
      </c>
      <c r="F134" s="1">
        <f>'Pitcher Data'!AW11</f>
        <v>23907008</v>
      </c>
      <c r="G134">
        <f t="shared" si="4"/>
        <v>35.599999999999994</v>
      </c>
      <c r="H134" s="1">
        <f t="shared" si="4"/>
        <v>56834672</v>
      </c>
      <c r="I134" s="13">
        <f>H134/G134</f>
        <v>1596479.550561798</v>
      </c>
    </row>
    <row r="135" spans="1:9" x14ac:dyDescent="0.25">
      <c r="B135" t="s">
        <v>823</v>
      </c>
      <c r="C135">
        <f>SUM(E75:E89)</f>
        <v>20.9</v>
      </c>
      <c r="D135" s="1">
        <f>SUM($AK$75:$AK$89)</f>
        <v>28343401</v>
      </c>
      <c r="E135">
        <f>'Pitcher Data'!AV12</f>
        <v>20.9</v>
      </c>
      <c r="F135" s="1">
        <f>'Pitcher Data'!AW12</f>
        <v>59745757</v>
      </c>
      <c r="G135">
        <f t="shared" si="4"/>
        <v>41.8</v>
      </c>
      <c r="H135" s="1">
        <f t="shared" si="4"/>
        <v>88089158</v>
      </c>
      <c r="I135" s="13">
        <f>H135/G135</f>
        <v>2107396.124401914</v>
      </c>
    </row>
    <row r="136" spans="1:9" x14ac:dyDescent="0.25">
      <c r="B136" t="s">
        <v>824</v>
      </c>
      <c r="C136">
        <f>SUM(E96:E114)</f>
        <v>17.099999999999998</v>
      </c>
      <c r="D136" s="1">
        <f>SUM($AK$96:$AK$114)</f>
        <v>61475625</v>
      </c>
      <c r="E136">
        <f>'Pitcher Data'!AV14</f>
        <v>14.099999999999994</v>
      </c>
      <c r="F136" s="1">
        <f>'Pitcher Data'!AW14</f>
        <v>22255701</v>
      </c>
      <c r="G136">
        <f t="shared" si="4"/>
        <v>31.199999999999992</v>
      </c>
      <c r="H136" s="1">
        <f t="shared" si="4"/>
        <v>83731326</v>
      </c>
      <c r="I136" s="13">
        <f>H136/G136</f>
        <v>2683696.3461538469</v>
      </c>
    </row>
  </sheetData>
  <conditionalFormatting sqref="AL1:AL114">
    <cfRule type="top10" dxfId="87" priority="1" rank="10"/>
  </conditionalFormatting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F8DD7B-2B25-433A-9D02-D14DBEC77CD6}">
  <sheetPr codeName="Sheet19"/>
  <dimension ref="A1:AX157"/>
  <sheetViews>
    <sheetView topLeftCell="A57" zoomScale="61" zoomScaleNormal="79" workbookViewId="0">
      <selection activeCell="AO106" sqref="AO106"/>
    </sheetView>
  </sheetViews>
  <sheetFormatPr defaultRowHeight="15" x14ac:dyDescent="0.25"/>
  <cols>
    <col min="1" max="1" width="7" customWidth="1"/>
    <col min="2" max="2" width="17" bestFit="1" customWidth="1"/>
    <col min="3" max="3" width="8.42578125" customWidth="1"/>
    <col min="4" max="4" width="8.140625" customWidth="1"/>
    <col min="5" max="5" width="9.28515625" customWidth="1"/>
    <col min="6" max="6" width="5.85546875" customWidth="1"/>
    <col min="7" max="7" width="5.28515625" customWidth="1"/>
    <col min="8" max="8" width="10.140625" customWidth="1"/>
    <col min="9" max="9" width="8.7109375" customWidth="1"/>
    <col min="10" max="10" width="5.5703125" customWidth="1"/>
    <col min="11" max="11" width="7.28515625" customWidth="1"/>
    <col min="12" max="12" width="7" customWidth="1"/>
    <col min="13" max="13" width="7.28515625" customWidth="1"/>
    <col min="14" max="14" width="9" customWidth="1"/>
    <col min="15" max="15" width="7" customWidth="1"/>
    <col min="16" max="16" width="6.42578125" customWidth="1"/>
    <col min="17" max="18" width="5.5703125" customWidth="1"/>
    <col min="19" max="19" width="7" customWidth="1"/>
    <col min="20" max="21" width="7.28515625" customWidth="1"/>
    <col min="22" max="22" width="8.140625" customWidth="1"/>
    <col min="23" max="23" width="7.28515625" customWidth="1"/>
    <col min="24" max="24" width="9" customWidth="1"/>
    <col min="25" max="25" width="7.28515625" customWidth="1"/>
    <col min="26" max="26" width="7.5703125" customWidth="1"/>
    <col min="27" max="27" width="7" customWidth="1"/>
    <col min="28" max="28" width="10.140625" customWidth="1"/>
    <col min="29" max="29" width="7.85546875" customWidth="1"/>
    <col min="30" max="30" width="10.140625" customWidth="1"/>
    <col min="31" max="31" width="7" customWidth="1"/>
    <col min="32" max="34" width="8.7109375" customWidth="1"/>
    <col min="35" max="35" width="11.85546875" customWidth="1"/>
    <col min="36" max="36" width="12.42578125" customWidth="1"/>
    <col min="37" max="37" width="25.42578125" customWidth="1"/>
    <col min="38" max="38" width="32.5703125" customWidth="1"/>
    <col min="39" max="39" width="10.140625" customWidth="1"/>
    <col min="40" max="40" width="16.42578125" style="1" bestFit="1" customWidth="1"/>
    <col min="41" max="41" width="12.7109375" bestFit="1" customWidth="1"/>
    <col min="48" max="48" width="11.140625" customWidth="1"/>
    <col min="49" max="49" width="12.85546875" customWidth="1"/>
    <col min="50" max="50" width="14.5703125" bestFit="1" customWidth="1"/>
  </cols>
  <sheetData>
    <row r="1" spans="1:50" x14ac:dyDescent="0.25">
      <c r="A1" s="103" t="s">
        <v>0</v>
      </c>
      <c r="B1" s="103" t="s">
        <v>1</v>
      </c>
      <c r="C1" s="103" t="s">
        <v>2</v>
      </c>
      <c r="D1" s="103" t="s">
        <v>3</v>
      </c>
      <c r="E1" s="103" t="s">
        <v>4</v>
      </c>
      <c r="F1" s="103" t="s">
        <v>137</v>
      </c>
      <c r="G1" s="103" t="s">
        <v>138</v>
      </c>
      <c r="H1" s="103" t="s">
        <v>139</v>
      </c>
      <c r="I1" s="103" t="s">
        <v>140</v>
      </c>
      <c r="J1" s="103" t="s">
        <v>5</v>
      </c>
      <c r="K1" s="103" t="s">
        <v>141</v>
      </c>
      <c r="L1" s="103" t="s">
        <v>142</v>
      </c>
      <c r="M1" s="103" t="s">
        <v>143</v>
      </c>
      <c r="N1" s="103" t="s">
        <v>144</v>
      </c>
      <c r="O1" s="103" t="s">
        <v>145</v>
      </c>
      <c r="P1" s="103" t="s">
        <v>146</v>
      </c>
      <c r="Q1" s="103" t="s">
        <v>9</v>
      </c>
      <c r="R1" s="103" t="s">
        <v>8</v>
      </c>
      <c r="S1" s="103" t="s">
        <v>147</v>
      </c>
      <c r="T1" s="103" t="s">
        <v>12</v>
      </c>
      <c r="U1" s="103" t="s">
        <v>16</v>
      </c>
      <c r="V1" s="103" t="s">
        <v>30</v>
      </c>
      <c r="W1" s="103" t="s">
        <v>17</v>
      </c>
      <c r="X1" s="103" t="s">
        <v>27</v>
      </c>
      <c r="Y1" s="103" t="s">
        <v>148</v>
      </c>
      <c r="Z1" s="103" t="s">
        <v>149</v>
      </c>
      <c r="AA1" s="103" t="s">
        <v>150</v>
      </c>
      <c r="AB1" s="103" t="s">
        <v>151</v>
      </c>
      <c r="AC1" s="103" t="s">
        <v>152</v>
      </c>
      <c r="AD1" s="103" t="s">
        <v>153</v>
      </c>
      <c r="AE1" s="103" t="s">
        <v>154</v>
      </c>
      <c r="AF1" s="103" t="s">
        <v>155</v>
      </c>
      <c r="AG1" s="103" t="s">
        <v>156</v>
      </c>
      <c r="AH1" s="103" t="s">
        <v>157</v>
      </c>
      <c r="AI1" s="103" t="s">
        <v>158</v>
      </c>
      <c r="AJ1" s="103" t="s">
        <v>32</v>
      </c>
      <c r="AK1" s="103" t="s">
        <v>33</v>
      </c>
      <c r="AL1" s="103" t="s">
        <v>836</v>
      </c>
      <c r="AM1" s="103" t="s">
        <v>817</v>
      </c>
      <c r="AN1" s="116" t="s">
        <v>840</v>
      </c>
      <c r="AO1" s="118" t="s">
        <v>843</v>
      </c>
      <c r="AT1" t="s">
        <v>838</v>
      </c>
    </row>
    <row r="2" spans="1:50" x14ac:dyDescent="0.25">
      <c r="A2" s="104">
        <v>1</v>
      </c>
      <c r="B2" s="104" t="s">
        <v>159</v>
      </c>
      <c r="C2" s="104">
        <v>29</v>
      </c>
      <c r="D2" s="104" t="s">
        <v>160</v>
      </c>
      <c r="E2" s="104">
        <v>1.6</v>
      </c>
      <c r="F2" s="104">
        <v>3</v>
      </c>
      <c r="G2" s="104">
        <v>15</v>
      </c>
      <c r="H2" s="104">
        <v>0.16700000000000001</v>
      </c>
      <c r="I2" s="104">
        <v>4.95</v>
      </c>
      <c r="J2" s="104">
        <v>33</v>
      </c>
      <c r="K2" s="104">
        <v>30</v>
      </c>
      <c r="L2" s="104">
        <v>0</v>
      </c>
      <c r="M2" s="104">
        <v>0</v>
      </c>
      <c r="N2" s="104">
        <v>0</v>
      </c>
      <c r="O2" s="104">
        <v>0</v>
      </c>
      <c r="P2" s="104">
        <v>160</v>
      </c>
      <c r="Q2" s="104">
        <v>180</v>
      </c>
      <c r="R2" s="104">
        <v>95</v>
      </c>
      <c r="S2" s="104">
        <v>88</v>
      </c>
      <c r="T2" s="104">
        <v>24</v>
      </c>
      <c r="U2" s="104">
        <v>63</v>
      </c>
      <c r="V2" s="104">
        <v>1</v>
      </c>
      <c r="W2" s="104">
        <v>123</v>
      </c>
      <c r="X2" s="104">
        <v>2</v>
      </c>
      <c r="Y2" s="104">
        <v>2</v>
      </c>
      <c r="Z2" s="104">
        <v>4</v>
      </c>
      <c r="AA2" s="104">
        <v>707</v>
      </c>
      <c r="AB2" s="104">
        <v>83</v>
      </c>
      <c r="AC2" s="104">
        <v>4.8</v>
      </c>
      <c r="AD2" s="104">
        <v>1.5189999999999999</v>
      </c>
      <c r="AE2" s="104">
        <v>10.1</v>
      </c>
      <c r="AF2" s="104">
        <v>1.4</v>
      </c>
      <c r="AG2" s="104">
        <v>3.5</v>
      </c>
      <c r="AH2" s="104">
        <v>6.9</v>
      </c>
      <c r="AI2" s="104">
        <v>1.95</v>
      </c>
      <c r="AJ2" s="104" t="s">
        <v>37</v>
      </c>
      <c r="AK2" s="104" t="s">
        <v>161</v>
      </c>
      <c r="AL2" s="104" t="s">
        <v>838</v>
      </c>
      <c r="AM2" s="104" t="s">
        <v>820</v>
      </c>
      <c r="AN2" s="105">
        <f>IFERROR(VLOOKUP(B2,'CWS Salary 2024'!$A$1:$I$39,7,FALSE), "No salary data")</f>
        <v>1750000</v>
      </c>
      <c r="AO2" s="1">
        <f>AN2/E2</f>
        <v>1093750</v>
      </c>
      <c r="AU2" t="s">
        <v>817</v>
      </c>
      <c r="AV2" t="s">
        <v>844</v>
      </c>
      <c r="AW2" t="s">
        <v>846</v>
      </c>
      <c r="AX2" t="s">
        <v>841</v>
      </c>
    </row>
    <row r="3" spans="1:50" x14ac:dyDescent="0.25">
      <c r="A3">
        <v>2</v>
      </c>
      <c r="B3" t="s">
        <v>162</v>
      </c>
      <c r="C3">
        <v>25</v>
      </c>
      <c r="D3" t="s">
        <v>160</v>
      </c>
      <c r="E3">
        <v>4.0999999999999996</v>
      </c>
      <c r="F3">
        <v>6</v>
      </c>
      <c r="G3">
        <v>12</v>
      </c>
      <c r="H3">
        <v>0.33300000000000002</v>
      </c>
      <c r="I3">
        <v>3.58</v>
      </c>
      <c r="J3">
        <v>32</v>
      </c>
      <c r="K3">
        <v>32</v>
      </c>
      <c r="L3">
        <v>0</v>
      </c>
      <c r="M3">
        <v>0</v>
      </c>
      <c r="N3">
        <v>0</v>
      </c>
      <c r="O3">
        <v>0</v>
      </c>
      <c r="P3">
        <v>146</v>
      </c>
      <c r="Q3">
        <v>123</v>
      </c>
      <c r="R3">
        <v>61</v>
      </c>
      <c r="S3">
        <v>58</v>
      </c>
      <c r="T3">
        <v>18</v>
      </c>
      <c r="U3">
        <v>33</v>
      </c>
      <c r="V3">
        <v>0</v>
      </c>
      <c r="W3">
        <v>209</v>
      </c>
      <c r="X3">
        <v>5</v>
      </c>
      <c r="Y3">
        <v>1</v>
      </c>
      <c r="Z3">
        <v>3</v>
      </c>
      <c r="AA3">
        <v>595</v>
      </c>
      <c r="AB3">
        <v>115</v>
      </c>
      <c r="AC3">
        <v>2.69</v>
      </c>
      <c r="AD3">
        <v>1.0680000000000001</v>
      </c>
      <c r="AE3">
        <v>7.6</v>
      </c>
      <c r="AF3">
        <v>1.1000000000000001</v>
      </c>
      <c r="AG3">
        <v>2</v>
      </c>
      <c r="AH3">
        <v>12.9</v>
      </c>
      <c r="AI3">
        <v>6.33</v>
      </c>
      <c r="AJ3" t="s">
        <v>163</v>
      </c>
      <c r="AK3" t="s">
        <v>164</v>
      </c>
      <c r="AL3" t="s">
        <v>838</v>
      </c>
      <c r="AM3" t="s">
        <v>820</v>
      </c>
      <c r="AN3" s="1">
        <f>IFERROR(VLOOKUP(B3,'CWS Salary 2024'!$A$1:$I$39,7,FALSE), "No salary data")</f>
        <v>800000</v>
      </c>
      <c r="AO3" s="1">
        <f t="shared" ref="AO3:AO66" si="0">AN3/E3</f>
        <v>195121.95121951221</v>
      </c>
      <c r="AU3" t="s">
        <v>820</v>
      </c>
      <c r="AV3">
        <f>SUM($E$2:$E$35)</f>
        <v>13.5</v>
      </c>
      <c r="AW3" s="1">
        <f>SUM($AN$2:$AN$32)</f>
        <v>13195009</v>
      </c>
      <c r="AX3" s="13">
        <f>AW3/AV3</f>
        <v>977408.07407407404</v>
      </c>
    </row>
    <row r="4" spans="1:50" hidden="1" x14ac:dyDescent="0.25">
      <c r="A4" s="19">
        <v>3</v>
      </c>
      <c r="B4" s="19" t="s">
        <v>165</v>
      </c>
      <c r="C4" s="19">
        <v>23</v>
      </c>
      <c r="D4" s="19" t="s">
        <v>160</v>
      </c>
      <c r="E4" s="19">
        <v>1.9</v>
      </c>
      <c r="F4" s="19">
        <v>5</v>
      </c>
      <c r="G4" s="19">
        <v>10</v>
      </c>
      <c r="H4" s="19">
        <v>0.33300000000000002</v>
      </c>
      <c r="I4" s="19">
        <v>4.49</v>
      </c>
      <c r="J4" s="19">
        <v>23</v>
      </c>
      <c r="K4" s="19">
        <v>21</v>
      </c>
      <c r="L4" s="19">
        <v>1</v>
      </c>
      <c r="M4" s="19">
        <v>0</v>
      </c>
      <c r="N4" s="19">
        <v>0</v>
      </c>
      <c r="O4" s="19">
        <v>1</v>
      </c>
      <c r="P4" s="19">
        <v>124.1</v>
      </c>
      <c r="Q4" s="19">
        <v>125</v>
      </c>
      <c r="R4" s="19">
        <v>65</v>
      </c>
      <c r="S4" s="19">
        <v>62</v>
      </c>
      <c r="T4" s="19">
        <v>18</v>
      </c>
      <c r="U4" s="19">
        <v>40</v>
      </c>
      <c r="V4" s="19">
        <v>0</v>
      </c>
      <c r="W4" s="19">
        <v>91</v>
      </c>
      <c r="X4" s="19">
        <v>4</v>
      </c>
      <c r="Y4" s="19">
        <v>1</v>
      </c>
      <c r="Z4" s="19">
        <v>2</v>
      </c>
      <c r="AA4" s="19">
        <v>522</v>
      </c>
      <c r="AB4" s="19">
        <v>92</v>
      </c>
      <c r="AC4" s="19">
        <v>4.6500000000000004</v>
      </c>
      <c r="AD4" s="19">
        <v>1.327</v>
      </c>
      <c r="AE4" s="19">
        <v>9</v>
      </c>
      <c r="AF4" s="19">
        <v>1.3</v>
      </c>
      <c r="AG4" s="19">
        <v>2.9</v>
      </c>
      <c r="AH4" s="19">
        <v>6.6</v>
      </c>
      <c r="AI4" s="19">
        <v>2.2799999999999998</v>
      </c>
      <c r="AJ4" s="19" t="s">
        <v>37</v>
      </c>
      <c r="AK4" s="19" t="s">
        <v>166</v>
      </c>
      <c r="AL4" s="19" t="s">
        <v>838</v>
      </c>
      <c r="AM4" s="19" t="s">
        <v>820</v>
      </c>
      <c r="AN4" s="108" t="str">
        <f>IFERROR(VLOOKUP(B4,'CWS Salary 2024'!$A$1:$I$39,7,FALSE), "No salary data")</f>
        <v>No salary data</v>
      </c>
      <c r="AO4" s="1" t="e">
        <f t="shared" si="0"/>
        <v>#VALUE!</v>
      </c>
    </row>
    <row r="5" spans="1:50" hidden="1" x14ac:dyDescent="0.25">
      <c r="A5">
        <v>4</v>
      </c>
      <c r="B5" t="s">
        <v>167</v>
      </c>
      <c r="C5">
        <v>31</v>
      </c>
      <c r="D5" t="s">
        <v>160</v>
      </c>
      <c r="E5">
        <v>4.5999999999999996</v>
      </c>
      <c r="F5">
        <v>7</v>
      </c>
      <c r="G5">
        <v>4</v>
      </c>
      <c r="H5">
        <v>0.63600000000000001</v>
      </c>
      <c r="I5">
        <v>3.11</v>
      </c>
      <c r="J5">
        <v>21</v>
      </c>
      <c r="K5">
        <v>21</v>
      </c>
      <c r="L5">
        <v>0</v>
      </c>
      <c r="M5">
        <v>0</v>
      </c>
      <c r="N5">
        <v>0</v>
      </c>
      <c r="O5">
        <v>0</v>
      </c>
      <c r="P5">
        <v>121.2</v>
      </c>
      <c r="Q5">
        <v>105</v>
      </c>
      <c r="R5">
        <v>43</v>
      </c>
      <c r="S5">
        <v>42</v>
      </c>
      <c r="T5">
        <v>14</v>
      </c>
      <c r="U5">
        <v>34</v>
      </c>
      <c r="V5">
        <v>0</v>
      </c>
      <c r="W5">
        <v>108</v>
      </c>
      <c r="X5">
        <v>2</v>
      </c>
      <c r="Y5">
        <v>1</v>
      </c>
      <c r="Z5">
        <v>2</v>
      </c>
      <c r="AA5">
        <v>502</v>
      </c>
      <c r="AB5">
        <v>132</v>
      </c>
      <c r="AC5">
        <v>3.77</v>
      </c>
      <c r="AD5">
        <v>1.1419999999999999</v>
      </c>
      <c r="AE5">
        <v>7.8</v>
      </c>
      <c r="AF5">
        <v>1</v>
      </c>
      <c r="AG5">
        <v>2.5</v>
      </c>
      <c r="AH5">
        <v>8</v>
      </c>
      <c r="AI5">
        <v>3.18</v>
      </c>
      <c r="AJ5" t="s">
        <v>37</v>
      </c>
      <c r="AK5" t="s">
        <v>168</v>
      </c>
      <c r="AL5" t="s">
        <v>838</v>
      </c>
      <c r="AM5" t="s">
        <v>820</v>
      </c>
      <c r="AN5" s="1" t="str">
        <f>IFERROR(VLOOKUP(B5,'CWS Salary 2024'!$A$1:$I$39,7,FALSE), "No salary data")</f>
        <v>No salary data</v>
      </c>
      <c r="AO5" s="1" t="e">
        <f t="shared" si="0"/>
        <v>#VALUE!</v>
      </c>
    </row>
    <row r="6" spans="1:50" hidden="1" x14ac:dyDescent="0.25">
      <c r="A6" s="19">
        <v>5</v>
      </c>
      <c r="B6" s="19" t="s">
        <v>135</v>
      </c>
      <c r="C6" s="19">
        <v>28</v>
      </c>
      <c r="D6" s="19" t="s">
        <v>169</v>
      </c>
      <c r="E6" s="19">
        <v>0.3</v>
      </c>
      <c r="F6" s="19">
        <v>2</v>
      </c>
      <c r="G6" s="19">
        <v>8</v>
      </c>
      <c r="H6" s="19">
        <v>0.2</v>
      </c>
      <c r="I6" s="19">
        <v>4.74</v>
      </c>
      <c r="J6" s="19">
        <v>43</v>
      </c>
      <c r="K6" s="19">
        <v>0</v>
      </c>
      <c r="L6" s="19">
        <v>26</v>
      </c>
      <c r="M6" s="19">
        <v>0</v>
      </c>
      <c r="N6" s="19">
        <v>0</v>
      </c>
      <c r="O6" s="19">
        <v>9</v>
      </c>
      <c r="P6" s="19">
        <v>43.2</v>
      </c>
      <c r="Q6" s="19">
        <v>35</v>
      </c>
      <c r="R6" s="19">
        <v>24</v>
      </c>
      <c r="S6" s="19">
        <v>23</v>
      </c>
      <c r="T6" s="19">
        <v>8</v>
      </c>
      <c r="U6" s="19">
        <v>24</v>
      </c>
      <c r="V6" s="19">
        <v>2</v>
      </c>
      <c r="W6" s="19">
        <v>59</v>
      </c>
      <c r="X6" s="19">
        <v>5</v>
      </c>
      <c r="Y6" s="19">
        <v>2</v>
      </c>
      <c r="Z6" s="19">
        <v>5</v>
      </c>
      <c r="AA6" s="19">
        <v>191</v>
      </c>
      <c r="AB6" s="19">
        <v>87</v>
      </c>
      <c r="AC6" s="19">
        <v>4.84</v>
      </c>
      <c r="AD6" s="19">
        <v>1.351</v>
      </c>
      <c r="AE6" s="19">
        <v>7.2</v>
      </c>
      <c r="AF6" s="19">
        <v>1.6</v>
      </c>
      <c r="AG6" s="19">
        <v>4.9000000000000004</v>
      </c>
      <c r="AH6" s="19">
        <v>12.2</v>
      </c>
      <c r="AI6" s="19">
        <v>2.46</v>
      </c>
      <c r="AJ6" s="19" t="s">
        <v>37</v>
      </c>
      <c r="AK6" s="19" t="s">
        <v>136</v>
      </c>
      <c r="AL6" s="19" t="s">
        <v>838</v>
      </c>
      <c r="AM6" s="19" t="s">
        <v>820</v>
      </c>
      <c r="AN6" s="108" t="str">
        <f>IFERROR(VLOOKUP(B6,'CWS Salary 2024'!$A$1:$I$39,7,FALSE), "No salary data")</f>
        <v>No salary data</v>
      </c>
      <c r="AO6" s="1" t="e">
        <f t="shared" si="0"/>
        <v>#VALUE!</v>
      </c>
    </row>
    <row r="7" spans="1:50" hidden="1" x14ac:dyDescent="0.25">
      <c r="A7">
        <v>6</v>
      </c>
      <c r="B7" t="s">
        <v>170</v>
      </c>
      <c r="C7">
        <v>31</v>
      </c>
      <c r="D7" t="s">
        <v>171</v>
      </c>
      <c r="E7">
        <v>0.5</v>
      </c>
      <c r="F7">
        <v>1</v>
      </c>
      <c r="G7">
        <v>2</v>
      </c>
      <c r="H7">
        <v>0.33300000000000002</v>
      </c>
      <c r="I7">
        <v>4.3899999999999997</v>
      </c>
      <c r="J7">
        <v>56</v>
      </c>
      <c r="K7">
        <v>0</v>
      </c>
      <c r="L7">
        <v>14</v>
      </c>
      <c r="M7">
        <v>0</v>
      </c>
      <c r="N7">
        <v>0</v>
      </c>
      <c r="O7">
        <v>1</v>
      </c>
      <c r="P7">
        <v>53.1</v>
      </c>
      <c r="Q7">
        <v>48</v>
      </c>
      <c r="R7">
        <v>29</v>
      </c>
      <c r="S7">
        <v>26</v>
      </c>
      <c r="T7">
        <v>5</v>
      </c>
      <c r="U7">
        <v>32</v>
      </c>
      <c r="V7">
        <v>1</v>
      </c>
      <c r="W7">
        <v>57</v>
      </c>
      <c r="X7">
        <v>3</v>
      </c>
      <c r="Y7">
        <v>0</v>
      </c>
      <c r="Z7">
        <v>1</v>
      </c>
      <c r="AA7">
        <v>242</v>
      </c>
      <c r="AB7">
        <v>94</v>
      </c>
      <c r="AC7">
        <v>4.22</v>
      </c>
      <c r="AD7">
        <v>1.5</v>
      </c>
      <c r="AE7">
        <v>8.1</v>
      </c>
      <c r="AF7">
        <v>0.8</v>
      </c>
      <c r="AG7">
        <v>5.4</v>
      </c>
      <c r="AH7">
        <v>9.6</v>
      </c>
      <c r="AI7">
        <v>1.78</v>
      </c>
      <c r="AJ7" t="s">
        <v>37</v>
      </c>
      <c r="AK7" t="s">
        <v>172</v>
      </c>
      <c r="AL7" t="s">
        <v>838</v>
      </c>
      <c r="AM7" t="s">
        <v>820</v>
      </c>
      <c r="AN7" s="1" t="str">
        <f>IFERROR(VLOOKUP(B7,'CWS Salary 2024'!$A$1:$I$39,7,FALSE), "No salary data")</f>
        <v>No salary data</v>
      </c>
      <c r="AO7" s="1" t="e">
        <f t="shared" si="0"/>
        <v>#VALUE!</v>
      </c>
    </row>
    <row r="8" spans="1:50" hidden="1" x14ac:dyDescent="0.25">
      <c r="A8" s="19">
        <v>7</v>
      </c>
      <c r="B8" s="19" t="s">
        <v>173</v>
      </c>
      <c r="C8" s="19">
        <v>34</v>
      </c>
      <c r="D8" s="19" t="s">
        <v>171</v>
      </c>
      <c r="E8" s="19">
        <v>-0.6</v>
      </c>
      <c r="F8" s="19">
        <v>0</v>
      </c>
      <c r="G8" s="19">
        <v>6</v>
      </c>
      <c r="H8" s="19">
        <v>0</v>
      </c>
      <c r="I8" s="19">
        <v>6.29</v>
      </c>
      <c r="J8" s="19">
        <v>54</v>
      </c>
      <c r="K8" s="19">
        <v>0</v>
      </c>
      <c r="L8" s="19">
        <v>20</v>
      </c>
      <c r="M8" s="19">
        <v>0</v>
      </c>
      <c r="N8" s="19">
        <v>0</v>
      </c>
      <c r="O8" s="19">
        <v>2</v>
      </c>
      <c r="P8" s="19">
        <v>48.2</v>
      </c>
      <c r="Q8" s="19">
        <v>52</v>
      </c>
      <c r="R8" s="19">
        <v>34</v>
      </c>
      <c r="S8" s="19">
        <v>34</v>
      </c>
      <c r="T8" s="19">
        <v>9</v>
      </c>
      <c r="U8" s="19">
        <v>17</v>
      </c>
      <c r="V8" s="19">
        <v>0</v>
      </c>
      <c r="W8" s="19">
        <v>58</v>
      </c>
      <c r="X8" s="19">
        <v>3</v>
      </c>
      <c r="Y8" s="19">
        <v>0</v>
      </c>
      <c r="Z8" s="19">
        <v>1</v>
      </c>
      <c r="AA8" s="19">
        <v>216</v>
      </c>
      <c r="AB8" s="19">
        <v>66</v>
      </c>
      <c r="AC8" s="19">
        <v>4.42</v>
      </c>
      <c r="AD8" s="19">
        <v>1.4179999999999999</v>
      </c>
      <c r="AE8" s="19">
        <v>9.6</v>
      </c>
      <c r="AF8" s="19">
        <v>1.7</v>
      </c>
      <c r="AG8" s="19">
        <v>3.1</v>
      </c>
      <c r="AH8" s="19">
        <v>10.7</v>
      </c>
      <c r="AI8" s="19">
        <v>3.41</v>
      </c>
      <c r="AJ8" s="19" t="s">
        <v>37</v>
      </c>
      <c r="AK8" s="19" t="s">
        <v>134</v>
      </c>
      <c r="AL8" s="19" t="s">
        <v>838</v>
      </c>
      <c r="AM8" s="19" t="s">
        <v>820</v>
      </c>
      <c r="AN8" s="108" t="str">
        <f>IFERROR(VLOOKUP(B8,'CWS Salary 2024'!$A$1:$I$39,7,FALSE), "No salary data")</f>
        <v>No salary data</v>
      </c>
      <c r="AO8" s="1" t="e">
        <f t="shared" si="0"/>
        <v>#VALUE!</v>
      </c>
    </row>
    <row r="9" spans="1:50" hidden="1" x14ac:dyDescent="0.25">
      <c r="A9">
        <v>8</v>
      </c>
      <c r="B9" t="s">
        <v>174</v>
      </c>
      <c r="C9">
        <v>32</v>
      </c>
      <c r="D9" t="s">
        <v>171</v>
      </c>
      <c r="E9">
        <v>-0.1</v>
      </c>
      <c r="F9">
        <v>2</v>
      </c>
      <c r="G9">
        <v>2</v>
      </c>
      <c r="H9">
        <v>0.5</v>
      </c>
      <c r="I9">
        <v>4.13</v>
      </c>
      <c r="J9">
        <v>41</v>
      </c>
      <c r="K9">
        <v>1</v>
      </c>
      <c r="L9">
        <v>8</v>
      </c>
      <c r="M9">
        <v>0</v>
      </c>
      <c r="N9">
        <v>0</v>
      </c>
      <c r="O9">
        <v>2</v>
      </c>
      <c r="P9">
        <v>48</v>
      </c>
      <c r="Q9">
        <v>47</v>
      </c>
      <c r="R9">
        <v>30</v>
      </c>
      <c r="S9">
        <v>22</v>
      </c>
      <c r="T9">
        <v>5</v>
      </c>
      <c r="U9">
        <v>15</v>
      </c>
      <c r="V9">
        <v>2</v>
      </c>
      <c r="W9">
        <v>55</v>
      </c>
      <c r="X9">
        <v>2</v>
      </c>
      <c r="Y9">
        <v>0</v>
      </c>
      <c r="Z9">
        <v>0</v>
      </c>
      <c r="AA9">
        <v>205</v>
      </c>
      <c r="AB9">
        <v>100</v>
      </c>
      <c r="AC9">
        <v>3.29</v>
      </c>
      <c r="AD9">
        <v>1.292</v>
      </c>
      <c r="AE9">
        <v>8.8000000000000007</v>
      </c>
      <c r="AF9">
        <v>0.9</v>
      </c>
      <c r="AG9">
        <v>2.8</v>
      </c>
      <c r="AH9">
        <v>10.3</v>
      </c>
      <c r="AI9">
        <v>3.67</v>
      </c>
      <c r="AJ9" t="s">
        <v>37</v>
      </c>
      <c r="AK9" t="s">
        <v>175</v>
      </c>
      <c r="AL9" t="s">
        <v>838</v>
      </c>
      <c r="AM9" t="s">
        <v>820</v>
      </c>
      <c r="AN9" s="1" t="str">
        <f>IFERROR(VLOOKUP(B9,'CWS Salary 2024'!$A$1:$I$39,7,FALSE), "No salary data")</f>
        <v>No salary data</v>
      </c>
      <c r="AO9" s="1" t="e">
        <f t="shared" si="0"/>
        <v>#VALUE!</v>
      </c>
    </row>
    <row r="10" spans="1:50" x14ac:dyDescent="0.25">
      <c r="A10" s="19">
        <v>9</v>
      </c>
      <c r="B10" s="19" t="s">
        <v>176</v>
      </c>
      <c r="C10" s="19">
        <v>29</v>
      </c>
      <c r="D10" s="19" t="s">
        <v>171</v>
      </c>
      <c r="E10" s="19">
        <v>-0.6</v>
      </c>
      <c r="F10" s="19">
        <v>1</v>
      </c>
      <c r="G10" s="19">
        <v>6</v>
      </c>
      <c r="H10" s="19">
        <v>0.14299999999999999</v>
      </c>
      <c r="I10" s="19">
        <v>5.71</v>
      </c>
      <c r="J10" s="19">
        <v>40</v>
      </c>
      <c r="K10" s="19">
        <v>0</v>
      </c>
      <c r="L10" s="19">
        <v>12</v>
      </c>
      <c r="M10" s="19">
        <v>0</v>
      </c>
      <c r="N10" s="19">
        <v>0</v>
      </c>
      <c r="O10" s="19">
        <v>0</v>
      </c>
      <c r="P10" s="19">
        <v>34.200000000000003</v>
      </c>
      <c r="Q10" s="19">
        <v>29</v>
      </c>
      <c r="R10" s="19">
        <v>29</v>
      </c>
      <c r="S10" s="19">
        <v>22</v>
      </c>
      <c r="T10" s="19">
        <v>8</v>
      </c>
      <c r="U10" s="19">
        <v>26</v>
      </c>
      <c r="V10" s="19">
        <v>6</v>
      </c>
      <c r="W10" s="19">
        <v>34</v>
      </c>
      <c r="X10" s="19">
        <v>3</v>
      </c>
      <c r="Y10" s="19">
        <v>1</v>
      </c>
      <c r="Z10" s="19">
        <v>1</v>
      </c>
      <c r="AA10" s="19">
        <v>163</v>
      </c>
      <c r="AB10" s="19">
        <v>73</v>
      </c>
      <c r="AC10" s="19">
        <v>6.71</v>
      </c>
      <c r="AD10" s="19">
        <v>1.587</v>
      </c>
      <c r="AE10" s="19">
        <v>7.5</v>
      </c>
      <c r="AF10" s="19">
        <v>2.1</v>
      </c>
      <c r="AG10" s="19">
        <v>6.8</v>
      </c>
      <c r="AH10" s="19">
        <v>8.8000000000000007</v>
      </c>
      <c r="AI10" s="19">
        <v>1.31</v>
      </c>
      <c r="AJ10" s="19" t="s">
        <v>37</v>
      </c>
      <c r="AK10" s="19" t="s">
        <v>177</v>
      </c>
      <c r="AL10" s="19" t="s">
        <v>838</v>
      </c>
      <c r="AM10" s="19" t="s">
        <v>820</v>
      </c>
      <c r="AN10" s="108">
        <f>IFERROR(VLOOKUP(B10,'CWS Salary 2024'!$A$1:$I$39,7,FALSE), "No salary data")</f>
        <v>707350</v>
      </c>
      <c r="AO10" s="1">
        <f t="shared" si="0"/>
        <v>-1178916.6666666667</v>
      </c>
      <c r="AU10" t="s">
        <v>821</v>
      </c>
      <c r="AV10">
        <f>SUM($E$37:$E$65)</f>
        <v>15.899999999999997</v>
      </c>
      <c r="AW10" s="1">
        <f>SUM($AN$37:$AN$65)</f>
        <v>6917763</v>
      </c>
      <c r="AX10" s="13">
        <f>AW10/AV10</f>
        <v>435079.43396226421</v>
      </c>
    </row>
    <row r="11" spans="1:50" x14ac:dyDescent="0.25">
      <c r="A11">
        <v>10</v>
      </c>
      <c r="B11" t="s">
        <v>178</v>
      </c>
      <c r="C11">
        <v>26</v>
      </c>
      <c r="D11" t="s">
        <v>37</v>
      </c>
      <c r="E11">
        <v>0.7</v>
      </c>
      <c r="F11">
        <v>0</v>
      </c>
      <c r="G11">
        <v>10</v>
      </c>
      <c r="H11">
        <v>0</v>
      </c>
      <c r="I11">
        <v>4.74</v>
      </c>
      <c r="J11">
        <v>25</v>
      </c>
      <c r="K11">
        <v>9</v>
      </c>
      <c r="L11">
        <v>7</v>
      </c>
      <c r="M11">
        <v>0</v>
      </c>
      <c r="N11">
        <v>0</v>
      </c>
      <c r="O11">
        <v>0</v>
      </c>
      <c r="P11">
        <v>79.2</v>
      </c>
      <c r="Q11">
        <v>66</v>
      </c>
      <c r="R11">
        <v>49</v>
      </c>
      <c r="S11">
        <v>42</v>
      </c>
      <c r="T11">
        <v>13</v>
      </c>
      <c r="U11">
        <v>44</v>
      </c>
      <c r="V11">
        <v>1</v>
      </c>
      <c r="W11">
        <v>84</v>
      </c>
      <c r="X11">
        <v>3</v>
      </c>
      <c r="Y11">
        <v>2</v>
      </c>
      <c r="Z11">
        <v>2</v>
      </c>
      <c r="AA11">
        <v>347</v>
      </c>
      <c r="AB11">
        <v>87</v>
      </c>
      <c r="AC11">
        <v>4.95</v>
      </c>
      <c r="AD11">
        <v>1.381</v>
      </c>
      <c r="AE11">
        <v>7.5</v>
      </c>
      <c r="AF11">
        <v>1.5</v>
      </c>
      <c r="AG11">
        <v>5</v>
      </c>
      <c r="AH11">
        <v>9.5</v>
      </c>
      <c r="AI11">
        <v>1.91</v>
      </c>
      <c r="AJ11" t="s">
        <v>37</v>
      </c>
      <c r="AK11" t="s">
        <v>179</v>
      </c>
      <c r="AL11" t="s">
        <v>838</v>
      </c>
      <c r="AM11" t="s">
        <v>820</v>
      </c>
      <c r="AN11" s="1">
        <f>IFERROR(VLOOKUP(B11,'CWS Salary 2024'!$A$1:$I$39,7,FALSE), "No salary data")</f>
        <v>3000000</v>
      </c>
      <c r="AO11" s="1">
        <f t="shared" si="0"/>
        <v>4285714.2857142864</v>
      </c>
      <c r="AU11" t="s">
        <v>822</v>
      </c>
      <c r="AV11">
        <f>SUM($E$67:$E$89)</f>
        <v>18.099999999999994</v>
      </c>
      <c r="AW11" s="1">
        <f>SUM($AN$67:$AN$89)</f>
        <v>23907008</v>
      </c>
      <c r="AX11" s="13">
        <f>AW11/AV11</f>
        <v>1320829.1712707186</v>
      </c>
    </row>
    <row r="12" spans="1:50" x14ac:dyDescent="0.25">
      <c r="A12" s="19">
        <v>11</v>
      </c>
      <c r="B12" s="19" t="s">
        <v>180</v>
      </c>
      <c r="C12" s="19">
        <v>25</v>
      </c>
      <c r="D12" s="19" t="s">
        <v>37</v>
      </c>
      <c r="E12" s="19">
        <v>1</v>
      </c>
      <c r="F12" s="19">
        <v>2</v>
      </c>
      <c r="G12" s="19">
        <v>5</v>
      </c>
      <c r="H12" s="19">
        <v>0.28599999999999998</v>
      </c>
      <c r="I12" s="19">
        <v>4.3</v>
      </c>
      <c r="J12" s="19">
        <v>39</v>
      </c>
      <c r="K12" s="19">
        <v>4</v>
      </c>
      <c r="L12" s="19">
        <v>14</v>
      </c>
      <c r="M12" s="19">
        <v>0</v>
      </c>
      <c r="N12" s="19">
        <v>0</v>
      </c>
      <c r="O12" s="19">
        <v>0</v>
      </c>
      <c r="P12" s="19">
        <v>73.099999999999994</v>
      </c>
      <c r="Q12" s="19">
        <v>74</v>
      </c>
      <c r="R12" s="19">
        <v>38</v>
      </c>
      <c r="S12" s="19">
        <v>35</v>
      </c>
      <c r="T12" s="19">
        <v>9</v>
      </c>
      <c r="U12" s="19">
        <v>33</v>
      </c>
      <c r="V12" s="19">
        <v>0</v>
      </c>
      <c r="W12" s="19">
        <v>56</v>
      </c>
      <c r="X12" s="19">
        <v>0</v>
      </c>
      <c r="Y12" s="19">
        <v>0</v>
      </c>
      <c r="Z12" s="19">
        <v>3</v>
      </c>
      <c r="AA12" s="19">
        <v>321</v>
      </c>
      <c r="AB12" s="19">
        <v>96</v>
      </c>
      <c r="AC12" s="19">
        <v>4.58</v>
      </c>
      <c r="AD12" s="19">
        <v>1.4590000000000001</v>
      </c>
      <c r="AE12" s="19">
        <v>9.1</v>
      </c>
      <c r="AF12" s="19">
        <v>1.1000000000000001</v>
      </c>
      <c r="AG12" s="19">
        <v>4.0999999999999996</v>
      </c>
      <c r="AH12" s="19">
        <v>6.9</v>
      </c>
      <c r="AI12" s="19">
        <v>1.7</v>
      </c>
      <c r="AJ12" s="19" t="s">
        <v>37</v>
      </c>
      <c r="AK12" s="19" t="s">
        <v>181</v>
      </c>
      <c r="AL12" s="19" t="s">
        <v>838</v>
      </c>
      <c r="AM12" s="19" t="s">
        <v>820</v>
      </c>
      <c r="AN12" s="108">
        <f>IFERROR(VLOOKUP(B12,'CWS Salary 2024'!$A$1:$I$39,7,FALSE), "No salary data")</f>
        <v>636480</v>
      </c>
      <c r="AO12" s="1">
        <f t="shared" si="0"/>
        <v>636480</v>
      </c>
      <c r="AU12" t="s">
        <v>823</v>
      </c>
      <c r="AV12">
        <f>SUM($E$93:$E$120)</f>
        <v>20.9</v>
      </c>
      <c r="AW12" s="1">
        <f>SUM($AN$93:$AN$120)</f>
        <v>59745757</v>
      </c>
      <c r="AX12" s="13">
        <f>AW12/AV12</f>
        <v>2858648.6602870817</v>
      </c>
    </row>
    <row r="13" spans="1:50" hidden="1" x14ac:dyDescent="0.25">
      <c r="A13">
        <v>12</v>
      </c>
      <c r="B13" t="s">
        <v>182</v>
      </c>
      <c r="C13">
        <v>31</v>
      </c>
      <c r="D13" t="s">
        <v>37</v>
      </c>
      <c r="E13">
        <v>0.2</v>
      </c>
      <c r="F13">
        <v>0</v>
      </c>
      <c r="G13">
        <v>2</v>
      </c>
      <c r="H13">
        <v>0</v>
      </c>
      <c r="I13">
        <v>5.0599999999999996</v>
      </c>
      <c r="J13">
        <v>31</v>
      </c>
      <c r="K13">
        <v>1</v>
      </c>
      <c r="L13">
        <v>7</v>
      </c>
      <c r="M13">
        <v>0</v>
      </c>
      <c r="N13">
        <v>0</v>
      </c>
      <c r="O13">
        <v>1</v>
      </c>
      <c r="P13">
        <v>53.1</v>
      </c>
      <c r="Q13">
        <v>56</v>
      </c>
      <c r="R13">
        <v>33</v>
      </c>
      <c r="S13">
        <v>30</v>
      </c>
      <c r="T13">
        <v>5</v>
      </c>
      <c r="U13">
        <v>25</v>
      </c>
      <c r="V13">
        <v>1</v>
      </c>
      <c r="W13">
        <v>54</v>
      </c>
      <c r="X13">
        <v>6</v>
      </c>
      <c r="Y13">
        <v>0</v>
      </c>
      <c r="Z13">
        <v>6</v>
      </c>
      <c r="AA13">
        <v>240</v>
      </c>
      <c r="AB13">
        <v>82</v>
      </c>
      <c r="AC13">
        <v>4.0999999999999996</v>
      </c>
      <c r="AD13">
        <v>1.5189999999999999</v>
      </c>
      <c r="AE13">
        <v>9.5</v>
      </c>
      <c r="AF13">
        <v>0.8</v>
      </c>
      <c r="AG13">
        <v>4.2</v>
      </c>
      <c r="AH13">
        <v>9.1</v>
      </c>
      <c r="AI13">
        <v>2.16</v>
      </c>
      <c r="AJ13" t="s">
        <v>37</v>
      </c>
      <c r="AK13" t="s">
        <v>183</v>
      </c>
      <c r="AL13" t="s">
        <v>838</v>
      </c>
      <c r="AM13" t="s">
        <v>820</v>
      </c>
      <c r="AN13" s="1" t="str">
        <f>IFERROR(VLOOKUP(B13,'CWS Salary 2024'!$A$1:$I$39,7,FALSE), "No salary data")</f>
        <v>No salary data</v>
      </c>
      <c r="AO13" s="1" t="e">
        <f t="shared" si="0"/>
        <v>#VALUE!</v>
      </c>
    </row>
    <row r="14" spans="1:50" x14ac:dyDescent="0.25">
      <c r="A14" s="19">
        <v>13</v>
      </c>
      <c r="B14" s="19" t="s">
        <v>184</v>
      </c>
      <c r="C14" s="19">
        <v>27</v>
      </c>
      <c r="D14" s="19" t="s">
        <v>37</v>
      </c>
      <c r="E14" s="19">
        <v>0.9</v>
      </c>
      <c r="F14" s="19">
        <v>0</v>
      </c>
      <c r="G14" s="19">
        <v>5</v>
      </c>
      <c r="H14" s="19">
        <v>0</v>
      </c>
      <c r="I14" s="19">
        <v>4.32</v>
      </c>
      <c r="J14" s="19">
        <v>11</v>
      </c>
      <c r="K14" s="19">
        <v>10</v>
      </c>
      <c r="L14" s="19">
        <v>0</v>
      </c>
      <c r="M14" s="19">
        <v>0</v>
      </c>
      <c r="N14" s="19">
        <v>0</v>
      </c>
      <c r="O14" s="19">
        <v>0</v>
      </c>
      <c r="P14" s="19">
        <v>50</v>
      </c>
      <c r="Q14" s="19">
        <v>50</v>
      </c>
      <c r="R14" s="19">
        <v>25</v>
      </c>
      <c r="S14" s="19">
        <v>24</v>
      </c>
      <c r="T14" s="19">
        <v>5</v>
      </c>
      <c r="U14" s="19">
        <v>23</v>
      </c>
      <c r="V14" s="19">
        <v>0</v>
      </c>
      <c r="W14" s="19">
        <v>47</v>
      </c>
      <c r="X14" s="19">
        <v>5</v>
      </c>
      <c r="Y14" s="19">
        <v>0</v>
      </c>
      <c r="Z14" s="19">
        <v>2</v>
      </c>
      <c r="AA14" s="19">
        <v>220</v>
      </c>
      <c r="AB14" s="19">
        <v>96</v>
      </c>
      <c r="AC14" s="19">
        <v>4.2699999999999996</v>
      </c>
      <c r="AD14" s="19">
        <v>1.46</v>
      </c>
      <c r="AE14" s="19">
        <v>9</v>
      </c>
      <c r="AF14" s="19">
        <v>0.9</v>
      </c>
      <c r="AG14" s="19">
        <v>4.0999999999999996</v>
      </c>
      <c r="AH14" s="19">
        <v>8.5</v>
      </c>
      <c r="AI14" s="19">
        <v>2.04</v>
      </c>
      <c r="AJ14" s="19" t="s">
        <v>37</v>
      </c>
      <c r="AK14" s="19" t="s">
        <v>185</v>
      </c>
      <c r="AL14" s="19" t="s">
        <v>838</v>
      </c>
      <c r="AM14" s="19" t="s">
        <v>820</v>
      </c>
      <c r="AN14" s="108">
        <f>IFERROR(VLOOKUP(B14,'CWS Salary 2024'!$A$1:$I$39,7,FALSE), "No salary data")</f>
        <v>254592</v>
      </c>
      <c r="AO14" s="1">
        <f t="shared" si="0"/>
        <v>282880</v>
      </c>
      <c r="AU14" t="s">
        <v>824</v>
      </c>
      <c r="AV14">
        <f>SUM($E$124:$E$154)</f>
        <v>14.099999999999994</v>
      </c>
      <c r="AW14" s="1">
        <f>SUM($AN$124:$AN$154)</f>
        <v>22255701</v>
      </c>
      <c r="AX14" s="13">
        <f>AW14/AV14</f>
        <v>1578418.5106382985</v>
      </c>
    </row>
    <row r="15" spans="1:50" x14ac:dyDescent="0.25">
      <c r="A15">
        <v>14</v>
      </c>
      <c r="B15" t="s">
        <v>186</v>
      </c>
      <c r="C15">
        <v>23</v>
      </c>
      <c r="D15" t="s">
        <v>37</v>
      </c>
      <c r="E15">
        <v>0.1</v>
      </c>
      <c r="F15">
        <v>3</v>
      </c>
      <c r="G15">
        <v>3</v>
      </c>
      <c r="H15">
        <v>0.5</v>
      </c>
      <c r="I15">
        <v>5.48</v>
      </c>
      <c r="J15">
        <v>9</v>
      </c>
      <c r="K15">
        <v>9</v>
      </c>
      <c r="L15">
        <v>0</v>
      </c>
      <c r="M15">
        <v>0</v>
      </c>
      <c r="N15">
        <v>0</v>
      </c>
      <c r="O15">
        <v>0</v>
      </c>
      <c r="P15">
        <v>44.1</v>
      </c>
      <c r="Q15">
        <v>35</v>
      </c>
      <c r="R15">
        <v>29</v>
      </c>
      <c r="S15">
        <v>27</v>
      </c>
      <c r="T15">
        <v>8</v>
      </c>
      <c r="U15">
        <v>21</v>
      </c>
      <c r="V15">
        <v>0</v>
      </c>
      <c r="W15">
        <v>25</v>
      </c>
      <c r="X15">
        <v>1</v>
      </c>
      <c r="Y15">
        <v>1</v>
      </c>
      <c r="Z15">
        <v>0</v>
      </c>
      <c r="AA15">
        <v>190</v>
      </c>
      <c r="AB15">
        <v>75</v>
      </c>
      <c r="AC15">
        <v>5.87</v>
      </c>
      <c r="AD15">
        <v>1.2629999999999999</v>
      </c>
      <c r="AE15">
        <v>7.1</v>
      </c>
      <c r="AF15">
        <v>1.6</v>
      </c>
      <c r="AG15">
        <v>4.3</v>
      </c>
      <c r="AH15">
        <v>5.0999999999999996</v>
      </c>
      <c r="AI15">
        <v>1.19</v>
      </c>
      <c r="AJ15" t="s">
        <v>37</v>
      </c>
      <c r="AK15" t="s">
        <v>187</v>
      </c>
      <c r="AL15" t="s">
        <v>838</v>
      </c>
      <c r="AM15" t="s">
        <v>820</v>
      </c>
      <c r="AN15" s="1">
        <f>IFERROR(VLOOKUP(B15,'CWS Salary 2024'!$A$1:$I$39,7,FALSE), "No salary data")</f>
        <v>437580</v>
      </c>
      <c r="AO15" s="1">
        <f t="shared" si="0"/>
        <v>4375800</v>
      </c>
    </row>
    <row r="16" spans="1:50" hidden="1" x14ac:dyDescent="0.25">
      <c r="A16" s="19">
        <v>15</v>
      </c>
      <c r="B16" s="19" t="s">
        <v>188</v>
      </c>
      <c r="C16" s="19">
        <v>24</v>
      </c>
      <c r="D16" s="19" t="s">
        <v>37</v>
      </c>
      <c r="E16" s="19">
        <v>-0.8</v>
      </c>
      <c r="F16" s="19">
        <v>0</v>
      </c>
      <c r="G16" s="19">
        <v>7</v>
      </c>
      <c r="H16" s="19">
        <v>0</v>
      </c>
      <c r="I16" s="19">
        <v>7.07</v>
      </c>
      <c r="J16" s="19">
        <v>9</v>
      </c>
      <c r="K16" s="19">
        <v>8</v>
      </c>
      <c r="L16" s="19">
        <v>0</v>
      </c>
      <c r="M16" s="19">
        <v>0</v>
      </c>
      <c r="N16" s="19">
        <v>0</v>
      </c>
      <c r="O16" s="19">
        <v>0</v>
      </c>
      <c r="P16" s="19">
        <v>35.200000000000003</v>
      </c>
      <c r="Q16" s="19">
        <v>32</v>
      </c>
      <c r="R16" s="19">
        <v>33</v>
      </c>
      <c r="S16" s="19">
        <v>28</v>
      </c>
      <c r="T16" s="19">
        <v>7</v>
      </c>
      <c r="U16" s="19">
        <v>36</v>
      </c>
      <c r="V16" s="19">
        <v>0</v>
      </c>
      <c r="W16" s="19">
        <v>26</v>
      </c>
      <c r="X16" s="19">
        <v>1</v>
      </c>
      <c r="Y16" s="19">
        <v>0</v>
      </c>
      <c r="Z16" s="19">
        <v>3</v>
      </c>
      <c r="AA16" s="19">
        <v>174</v>
      </c>
      <c r="AB16" s="19">
        <v>59</v>
      </c>
      <c r="AC16" s="19">
        <v>7.37</v>
      </c>
      <c r="AD16" s="19">
        <v>1.907</v>
      </c>
      <c r="AE16" s="19">
        <v>8.1</v>
      </c>
      <c r="AF16" s="19">
        <v>1.8</v>
      </c>
      <c r="AG16" s="19">
        <v>9.1</v>
      </c>
      <c r="AH16" s="19">
        <v>6.6</v>
      </c>
      <c r="AI16" s="19">
        <v>0.72</v>
      </c>
      <c r="AJ16" s="19" t="s">
        <v>37</v>
      </c>
      <c r="AK16" s="19" t="s">
        <v>189</v>
      </c>
      <c r="AL16" s="19" t="s">
        <v>838</v>
      </c>
      <c r="AM16" s="19" t="s">
        <v>820</v>
      </c>
      <c r="AN16" s="108" t="str">
        <f>IFERROR(VLOOKUP(B16,'CWS Salary 2024'!$A$1:$I$39,7,FALSE), "No salary data")</f>
        <v>No salary data</v>
      </c>
      <c r="AO16" s="1" t="e">
        <f t="shared" si="0"/>
        <v>#VALUE!</v>
      </c>
    </row>
    <row r="17" spans="1:41" hidden="1" x14ac:dyDescent="0.25">
      <c r="A17">
        <v>16</v>
      </c>
      <c r="B17" t="s">
        <v>190</v>
      </c>
      <c r="C17">
        <v>25</v>
      </c>
      <c r="D17" t="s">
        <v>37</v>
      </c>
      <c r="E17">
        <v>-0.4</v>
      </c>
      <c r="F17">
        <v>0</v>
      </c>
      <c r="G17">
        <v>2</v>
      </c>
      <c r="H17">
        <v>0</v>
      </c>
      <c r="I17">
        <v>6.32</v>
      </c>
      <c r="J17">
        <v>33</v>
      </c>
      <c r="K17">
        <v>0</v>
      </c>
      <c r="L17">
        <v>4</v>
      </c>
      <c r="M17">
        <v>0</v>
      </c>
      <c r="N17">
        <v>0</v>
      </c>
      <c r="O17">
        <v>2</v>
      </c>
      <c r="P17">
        <v>31.1</v>
      </c>
      <c r="Q17">
        <v>32</v>
      </c>
      <c r="R17">
        <v>22</v>
      </c>
      <c r="S17">
        <v>22</v>
      </c>
      <c r="T17">
        <v>6</v>
      </c>
      <c r="U17">
        <v>18</v>
      </c>
      <c r="V17">
        <v>0</v>
      </c>
      <c r="W17">
        <v>26</v>
      </c>
      <c r="X17">
        <v>1</v>
      </c>
      <c r="Y17">
        <v>0</v>
      </c>
      <c r="Z17">
        <v>3</v>
      </c>
      <c r="AA17">
        <v>142</v>
      </c>
      <c r="AB17">
        <v>66</v>
      </c>
      <c r="AC17">
        <v>5.81</v>
      </c>
      <c r="AD17">
        <v>1.5960000000000001</v>
      </c>
      <c r="AE17">
        <v>9.1999999999999993</v>
      </c>
      <c r="AF17">
        <v>1.7</v>
      </c>
      <c r="AG17">
        <v>5.2</v>
      </c>
      <c r="AH17">
        <v>7.5</v>
      </c>
      <c r="AI17">
        <v>1.44</v>
      </c>
      <c r="AJ17" t="s">
        <v>37</v>
      </c>
      <c r="AK17" t="s">
        <v>191</v>
      </c>
      <c r="AL17" t="s">
        <v>838</v>
      </c>
      <c r="AM17" t="s">
        <v>820</v>
      </c>
      <c r="AN17" s="1" t="str">
        <f>IFERROR(VLOOKUP(B17,'CWS Salary 2024'!$A$1:$I$39,7,FALSE), "No salary data")</f>
        <v>No salary data</v>
      </c>
      <c r="AO17" s="1" t="e">
        <f t="shared" si="0"/>
        <v>#VALUE!</v>
      </c>
    </row>
    <row r="18" spans="1:41" x14ac:dyDescent="0.25">
      <c r="A18" s="19">
        <v>17</v>
      </c>
      <c r="B18" s="19" t="s">
        <v>192</v>
      </c>
      <c r="C18" s="19">
        <v>26</v>
      </c>
      <c r="D18" s="19" t="s">
        <v>37</v>
      </c>
      <c r="E18" s="19">
        <v>0.2</v>
      </c>
      <c r="F18" s="19">
        <v>2</v>
      </c>
      <c r="G18" s="19">
        <v>3</v>
      </c>
      <c r="H18" s="19">
        <v>0.4</v>
      </c>
      <c r="I18" s="19">
        <v>3.75</v>
      </c>
      <c r="J18" s="19">
        <v>25</v>
      </c>
      <c r="K18" s="19">
        <v>0</v>
      </c>
      <c r="L18" s="19">
        <v>2</v>
      </c>
      <c r="M18" s="19">
        <v>0</v>
      </c>
      <c r="N18" s="19">
        <v>0</v>
      </c>
      <c r="O18" s="19">
        <v>1</v>
      </c>
      <c r="P18" s="19">
        <v>24</v>
      </c>
      <c r="Q18" s="19">
        <v>18</v>
      </c>
      <c r="R18" s="19">
        <v>12</v>
      </c>
      <c r="S18" s="19">
        <v>10</v>
      </c>
      <c r="T18" s="19">
        <v>3</v>
      </c>
      <c r="U18" s="19">
        <v>12</v>
      </c>
      <c r="V18" s="19">
        <v>3</v>
      </c>
      <c r="W18" s="19">
        <v>26</v>
      </c>
      <c r="X18" s="19">
        <v>1</v>
      </c>
      <c r="Y18" s="19">
        <v>0</v>
      </c>
      <c r="Z18" s="19">
        <v>5</v>
      </c>
      <c r="AA18" s="19">
        <v>101</v>
      </c>
      <c r="AB18" s="19">
        <v>111</v>
      </c>
      <c r="AC18" s="19">
        <v>4.25</v>
      </c>
      <c r="AD18" s="19">
        <v>1.25</v>
      </c>
      <c r="AE18" s="19">
        <v>6.8</v>
      </c>
      <c r="AF18" s="19">
        <v>1.1000000000000001</v>
      </c>
      <c r="AG18" s="19">
        <v>4.5</v>
      </c>
      <c r="AH18" s="19">
        <v>9.8000000000000007</v>
      </c>
      <c r="AI18" s="19">
        <v>2.17</v>
      </c>
      <c r="AJ18" s="19" t="s">
        <v>37</v>
      </c>
      <c r="AK18" s="19" t="s">
        <v>193</v>
      </c>
      <c r="AL18" s="19" t="s">
        <v>838</v>
      </c>
      <c r="AM18" s="19" t="s">
        <v>820</v>
      </c>
      <c r="AN18" s="108">
        <f>IFERROR(VLOOKUP(B18,'CWS Salary 2024'!$A$1:$I$39,7,FALSE), "No salary data")</f>
        <v>242658</v>
      </c>
      <c r="AO18" s="1">
        <f t="shared" si="0"/>
        <v>1213290</v>
      </c>
    </row>
    <row r="19" spans="1:41" hidden="1" x14ac:dyDescent="0.25">
      <c r="A19">
        <v>18</v>
      </c>
      <c r="B19" t="s">
        <v>194</v>
      </c>
      <c r="C19">
        <v>34</v>
      </c>
      <c r="D19" t="s">
        <v>37</v>
      </c>
      <c r="E19">
        <v>-0.4</v>
      </c>
      <c r="F19">
        <v>1</v>
      </c>
      <c r="G19">
        <v>0</v>
      </c>
      <c r="H19">
        <v>1</v>
      </c>
      <c r="I19">
        <v>5.87</v>
      </c>
      <c r="J19">
        <v>27</v>
      </c>
      <c r="K19">
        <v>0</v>
      </c>
      <c r="L19">
        <v>9</v>
      </c>
      <c r="M19">
        <v>0</v>
      </c>
      <c r="N19">
        <v>0</v>
      </c>
      <c r="O19">
        <v>0</v>
      </c>
      <c r="P19">
        <v>23</v>
      </c>
      <c r="Q19">
        <v>41</v>
      </c>
      <c r="R19">
        <v>19</v>
      </c>
      <c r="S19">
        <v>15</v>
      </c>
      <c r="T19">
        <v>0</v>
      </c>
      <c r="U19">
        <v>10</v>
      </c>
      <c r="V19">
        <v>1</v>
      </c>
      <c r="W19">
        <v>13</v>
      </c>
      <c r="X19">
        <v>1</v>
      </c>
      <c r="Y19">
        <v>0</v>
      </c>
      <c r="Z19">
        <v>0</v>
      </c>
      <c r="AA19">
        <v>118</v>
      </c>
      <c r="AB19">
        <v>71</v>
      </c>
      <c r="AC19">
        <v>3.47</v>
      </c>
      <c r="AD19">
        <v>2.2170000000000001</v>
      </c>
      <c r="AE19">
        <v>16</v>
      </c>
      <c r="AF19">
        <v>0</v>
      </c>
      <c r="AG19">
        <v>3.9</v>
      </c>
      <c r="AH19">
        <v>5.0999999999999996</v>
      </c>
      <c r="AI19">
        <v>1.3</v>
      </c>
      <c r="AJ19" t="s">
        <v>37</v>
      </c>
      <c r="AK19" t="s">
        <v>195</v>
      </c>
      <c r="AL19" t="s">
        <v>838</v>
      </c>
      <c r="AM19" t="s">
        <v>820</v>
      </c>
      <c r="AN19" s="1" t="str">
        <f>IFERROR(VLOOKUP(B19,'CWS Salary 2024'!$A$1:$I$39,7,FALSE), "No salary data")</f>
        <v>No salary data</v>
      </c>
      <c r="AO19" s="1" t="e">
        <f t="shared" si="0"/>
        <v>#VALUE!</v>
      </c>
    </row>
    <row r="20" spans="1:41" hidden="1" x14ac:dyDescent="0.25">
      <c r="A20" s="19">
        <v>19</v>
      </c>
      <c r="B20" s="19" t="s">
        <v>196</v>
      </c>
      <c r="C20" s="19">
        <v>28</v>
      </c>
      <c r="D20" s="19" t="s">
        <v>37</v>
      </c>
      <c r="E20" s="19">
        <v>-0.3</v>
      </c>
      <c r="F20" s="19">
        <v>1</v>
      </c>
      <c r="G20" s="19">
        <v>2</v>
      </c>
      <c r="H20" s="19">
        <v>0.33300000000000002</v>
      </c>
      <c r="I20" s="19">
        <v>7.43</v>
      </c>
      <c r="J20" s="19">
        <v>11</v>
      </c>
      <c r="K20" s="19">
        <v>0</v>
      </c>
      <c r="L20" s="19">
        <v>2</v>
      </c>
      <c r="M20" s="19">
        <v>0</v>
      </c>
      <c r="N20" s="19">
        <v>0</v>
      </c>
      <c r="O20" s="19">
        <v>0</v>
      </c>
      <c r="P20" s="19">
        <v>23</v>
      </c>
      <c r="Q20" s="19">
        <v>35</v>
      </c>
      <c r="R20" s="19">
        <v>19</v>
      </c>
      <c r="S20" s="19">
        <v>19</v>
      </c>
      <c r="T20" s="19">
        <v>3</v>
      </c>
      <c r="U20" s="19">
        <v>18</v>
      </c>
      <c r="V20" s="19">
        <v>0</v>
      </c>
      <c r="W20" s="19">
        <v>26</v>
      </c>
      <c r="X20" s="19">
        <v>1</v>
      </c>
      <c r="Y20" s="19">
        <v>0</v>
      </c>
      <c r="Z20" s="19">
        <v>1</v>
      </c>
      <c r="AA20" s="19">
        <v>117</v>
      </c>
      <c r="AB20" s="19">
        <v>56</v>
      </c>
      <c r="AC20" s="19">
        <v>5.08</v>
      </c>
      <c r="AD20" s="19">
        <v>2.3039999999999998</v>
      </c>
      <c r="AE20" s="19">
        <v>13.7</v>
      </c>
      <c r="AF20" s="19">
        <v>1.2</v>
      </c>
      <c r="AG20" s="19">
        <v>7</v>
      </c>
      <c r="AH20" s="19">
        <v>10.199999999999999</v>
      </c>
      <c r="AI20" s="19">
        <v>1.44</v>
      </c>
      <c r="AJ20" s="19" t="s">
        <v>37</v>
      </c>
      <c r="AK20" s="19" t="s">
        <v>197</v>
      </c>
      <c r="AL20" s="19" t="s">
        <v>838</v>
      </c>
      <c r="AM20" s="19" t="s">
        <v>820</v>
      </c>
      <c r="AN20" s="108" t="str">
        <f>IFERROR(VLOOKUP(B20,'CWS Salary 2024'!$A$1:$I$39,7,FALSE), "No salary data")</f>
        <v>No salary data</v>
      </c>
      <c r="AO20" s="1" t="e">
        <f t="shared" si="0"/>
        <v>#VALUE!</v>
      </c>
    </row>
    <row r="21" spans="1:41" x14ac:dyDescent="0.25">
      <c r="A21">
        <v>20</v>
      </c>
      <c r="B21" t="s">
        <v>198</v>
      </c>
      <c r="C21">
        <v>27</v>
      </c>
      <c r="D21" t="s">
        <v>37</v>
      </c>
      <c r="E21">
        <v>0.3</v>
      </c>
      <c r="F21">
        <v>1</v>
      </c>
      <c r="G21">
        <v>0</v>
      </c>
      <c r="H21">
        <v>1</v>
      </c>
      <c r="I21">
        <v>3.54</v>
      </c>
      <c r="J21">
        <v>19</v>
      </c>
      <c r="K21">
        <v>0</v>
      </c>
      <c r="L21">
        <v>5</v>
      </c>
      <c r="M21">
        <v>0</v>
      </c>
      <c r="N21">
        <v>0</v>
      </c>
      <c r="O21">
        <v>0</v>
      </c>
      <c r="P21">
        <v>20.100000000000001</v>
      </c>
      <c r="Q21">
        <v>23</v>
      </c>
      <c r="R21">
        <v>9</v>
      </c>
      <c r="S21">
        <v>8</v>
      </c>
      <c r="T21">
        <v>1</v>
      </c>
      <c r="U21">
        <v>4</v>
      </c>
      <c r="V21">
        <v>1</v>
      </c>
      <c r="W21">
        <v>24</v>
      </c>
      <c r="X21">
        <v>0</v>
      </c>
      <c r="Y21">
        <v>0</v>
      </c>
      <c r="Z21">
        <v>2</v>
      </c>
      <c r="AA21">
        <v>85</v>
      </c>
      <c r="AB21">
        <v>118</v>
      </c>
      <c r="AC21">
        <v>2.0299999999999998</v>
      </c>
      <c r="AD21">
        <v>1.3280000000000001</v>
      </c>
      <c r="AE21">
        <v>10.199999999999999</v>
      </c>
      <c r="AF21">
        <v>0.4</v>
      </c>
      <c r="AG21">
        <v>1.8</v>
      </c>
      <c r="AH21">
        <v>10.6</v>
      </c>
      <c r="AI21">
        <v>6</v>
      </c>
      <c r="AJ21" t="s">
        <v>37</v>
      </c>
      <c r="AK21" t="s">
        <v>199</v>
      </c>
      <c r="AL21" t="s">
        <v>838</v>
      </c>
      <c r="AM21" t="s">
        <v>820</v>
      </c>
      <c r="AN21" s="1">
        <f>IFERROR(VLOOKUP(B21,'CWS Salary 2024'!$A$1:$I$39,7,FALSE), "No salary data")</f>
        <v>171054</v>
      </c>
      <c r="AO21" s="1">
        <f t="shared" si="0"/>
        <v>570180</v>
      </c>
    </row>
    <row r="22" spans="1:41" x14ac:dyDescent="0.25">
      <c r="A22" s="19">
        <v>21</v>
      </c>
      <c r="B22" s="19" t="s">
        <v>200</v>
      </c>
      <c r="C22" s="19">
        <v>24</v>
      </c>
      <c r="D22" s="19" t="s">
        <v>37</v>
      </c>
      <c r="E22" s="19">
        <v>0.4</v>
      </c>
      <c r="F22" s="19">
        <v>1</v>
      </c>
      <c r="G22" s="19">
        <v>0</v>
      </c>
      <c r="H22" s="19">
        <v>1</v>
      </c>
      <c r="I22" s="19">
        <v>3.32</v>
      </c>
      <c r="J22" s="19">
        <v>17</v>
      </c>
      <c r="K22" s="19">
        <v>0</v>
      </c>
      <c r="L22" s="19">
        <v>3</v>
      </c>
      <c r="M22" s="19">
        <v>0</v>
      </c>
      <c r="N22" s="19">
        <v>0</v>
      </c>
      <c r="O22" s="19">
        <v>0</v>
      </c>
      <c r="P22" s="19">
        <v>19</v>
      </c>
      <c r="Q22" s="19">
        <v>15</v>
      </c>
      <c r="R22" s="19">
        <v>7</v>
      </c>
      <c r="S22" s="19">
        <v>7</v>
      </c>
      <c r="T22" s="19">
        <v>2</v>
      </c>
      <c r="U22" s="19">
        <v>13</v>
      </c>
      <c r="V22" s="19">
        <v>1</v>
      </c>
      <c r="W22" s="19">
        <v>26</v>
      </c>
      <c r="X22" s="19">
        <v>1</v>
      </c>
      <c r="Y22" s="19">
        <v>0</v>
      </c>
      <c r="Z22" s="19">
        <v>0</v>
      </c>
      <c r="AA22" s="19">
        <v>83</v>
      </c>
      <c r="AB22" s="19">
        <v>126</v>
      </c>
      <c r="AC22" s="19">
        <v>4.01</v>
      </c>
      <c r="AD22" s="19">
        <v>1.474</v>
      </c>
      <c r="AE22" s="19">
        <v>7.1</v>
      </c>
      <c r="AF22" s="19">
        <v>0.9</v>
      </c>
      <c r="AG22" s="19">
        <v>6.2</v>
      </c>
      <c r="AH22" s="19">
        <v>12.3</v>
      </c>
      <c r="AI22" s="19">
        <v>2</v>
      </c>
      <c r="AJ22" s="19" t="s">
        <v>37</v>
      </c>
      <c r="AK22" s="19" t="s">
        <v>201</v>
      </c>
      <c r="AL22" s="19" t="s">
        <v>838</v>
      </c>
      <c r="AM22" s="19" t="s">
        <v>820</v>
      </c>
      <c r="AN22" s="108">
        <f>IFERROR(VLOOKUP(B22,'CWS Salary 2024'!$A$1:$I$39,7,FALSE), "No salary data")</f>
        <v>159120</v>
      </c>
      <c r="AO22" s="1">
        <f t="shared" si="0"/>
        <v>397800</v>
      </c>
    </row>
    <row r="23" spans="1:41" x14ac:dyDescent="0.25">
      <c r="A23">
        <v>22</v>
      </c>
      <c r="B23" t="s">
        <v>202</v>
      </c>
      <c r="C23">
        <v>32</v>
      </c>
      <c r="D23" t="s">
        <v>37</v>
      </c>
      <c r="E23">
        <v>-0.7</v>
      </c>
      <c r="F23">
        <v>0</v>
      </c>
      <c r="G23">
        <v>2</v>
      </c>
      <c r="H23">
        <v>0</v>
      </c>
      <c r="I23">
        <v>6.63</v>
      </c>
      <c r="J23">
        <v>23</v>
      </c>
      <c r="K23">
        <v>0</v>
      </c>
      <c r="L23">
        <v>4</v>
      </c>
      <c r="M23">
        <v>0</v>
      </c>
      <c r="N23">
        <v>0</v>
      </c>
      <c r="O23">
        <v>0</v>
      </c>
      <c r="P23">
        <v>19</v>
      </c>
      <c r="Q23">
        <v>20</v>
      </c>
      <c r="R23">
        <v>17</v>
      </c>
      <c r="S23">
        <v>14</v>
      </c>
      <c r="T23">
        <v>4</v>
      </c>
      <c r="U23">
        <v>14</v>
      </c>
      <c r="V23">
        <v>1</v>
      </c>
      <c r="W23">
        <v>17</v>
      </c>
      <c r="X23">
        <v>0</v>
      </c>
      <c r="Y23">
        <v>0</v>
      </c>
      <c r="Z23">
        <v>2</v>
      </c>
      <c r="AA23">
        <v>89</v>
      </c>
      <c r="AB23">
        <v>63</v>
      </c>
      <c r="AC23">
        <v>6.32</v>
      </c>
      <c r="AD23">
        <v>1.7889999999999999</v>
      </c>
      <c r="AE23">
        <v>9.5</v>
      </c>
      <c r="AF23">
        <v>1.9</v>
      </c>
      <c r="AG23">
        <v>6.6</v>
      </c>
      <c r="AH23">
        <v>8.1</v>
      </c>
      <c r="AI23">
        <v>1.21</v>
      </c>
      <c r="AJ23" t="s">
        <v>37</v>
      </c>
      <c r="AK23" t="s">
        <v>203</v>
      </c>
      <c r="AL23" t="s">
        <v>838</v>
      </c>
      <c r="AM23" t="s">
        <v>820</v>
      </c>
      <c r="AN23" s="1">
        <f>IFERROR(VLOOKUP(B23,'CWS Salary 2024'!$A$1:$I$39,7,FALSE), "No salary data")</f>
        <v>1500000</v>
      </c>
      <c r="AO23" s="1">
        <f t="shared" si="0"/>
        <v>-2142857.1428571432</v>
      </c>
    </row>
    <row r="24" spans="1:41" x14ac:dyDescent="0.25">
      <c r="A24" s="19">
        <v>23</v>
      </c>
      <c r="B24" s="19" t="s">
        <v>204</v>
      </c>
      <c r="C24" s="19">
        <v>24</v>
      </c>
      <c r="D24" s="19" t="s">
        <v>37</v>
      </c>
      <c r="E24" s="19">
        <v>0.9</v>
      </c>
      <c r="F24" s="19">
        <v>2</v>
      </c>
      <c r="G24" s="19">
        <v>0</v>
      </c>
      <c r="H24" s="19">
        <v>1</v>
      </c>
      <c r="I24" s="19">
        <v>1.42</v>
      </c>
      <c r="J24" s="19">
        <v>4</v>
      </c>
      <c r="K24" s="19">
        <v>3</v>
      </c>
      <c r="L24" s="19">
        <v>1</v>
      </c>
      <c r="M24" s="19">
        <v>0</v>
      </c>
      <c r="N24" s="19">
        <v>0</v>
      </c>
      <c r="O24" s="19">
        <v>0</v>
      </c>
      <c r="P24" s="19">
        <v>19</v>
      </c>
      <c r="Q24" s="19">
        <v>12</v>
      </c>
      <c r="R24" s="19">
        <v>4</v>
      </c>
      <c r="S24" s="19">
        <v>3</v>
      </c>
      <c r="T24" s="19">
        <v>2</v>
      </c>
      <c r="U24" s="19">
        <v>7</v>
      </c>
      <c r="V24" s="19">
        <v>0</v>
      </c>
      <c r="W24" s="19">
        <v>22</v>
      </c>
      <c r="X24" s="19">
        <v>0</v>
      </c>
      <c r="Y24" s="19">
        <v>0</v>
      </c>
      <c r="Z24" s="19">
        <v>1</v>
      </c>
      <c r="AA24" s="19">
        <v>76</v>
      </c>
      <c r="AB24" s="19">
        <v>294</v>
      </c>
      <c r="AC24" s="19">
        <v>3.32</v>
      </c>
      <c r="AD24" s="19">
        <v>1</v>
      </c>
      <c r="AE24" s="19">
        <v>5.7</v>
      </c>
      <c r="AF24" s="19">
        <v>0.9</v>
      </c>
      <c r="AG24" s="19">
        <v>3.3</v>
      </c>
      <c r="AH24" s="19">
        <v>10.4</v>
      </c>
      <c r="AI24" s="19">
        <v>3.14</v>
      </c>
      <c r="AJ24" s="19" t="s">
        <v>37</v>
      </c>
      <c r="AK24" s="19" t="s">
        <v>205</v>
      </c>
      <c r="AL24" s="19" t="s">
        <v>838</v>
      </c>
      <c r="AM24" s="19" t="s">
        <v>820</v>
      </c>
      <c r="AN24" s="108">
        <f>IFERROR(VLOOKUP(B24,'CWS Salary 2024'!$A$1:$I$39,7,FALSE), "No salary data")</f>
        <v>75582</v>
      </c>
      <c r="AO24" s="1">
        <f t="shared" si="0"/>
        <v>83980</v>
      </c>
    </row>
    <row r="25" spans="1:41" x14ac:dyDescent="0.25">
      <c r="A25">
        <v>24</v>
      </c>
      <c r="B25" t="s">
        <v>206</v>
      </c>
      <c r="C25">
        <v>24</v>
      </c>
      <c r="D25" t="s">
        <v>37</v>
      </c>
      <c r="E25">
        <v>0.1</v>
      </c>
      <c r="F25">
        <v>0</v>
      </c>
      <c r="G25">
        <v>3</v>
      </c>
      <c r="H25">
        <v>0</v>
      </c>
      <c r="I25">
        <v>5.6</v>
      </c>
      <c r="J25">
        <v>4</v>
      </c>
      <c r="K25">
        <v>4</v>
      </c>
      <c r="L25">
        <v>0</v>
      </c>
      <c r="M25">
        <v>0</v>
      </c>
      <c r="N25">
        <v>0</v>
      </c>
      <c r="O25">
        <v>0</v>
      </c>
      <c r="P25">
        <v>17.2</v>
      </c>
      <c r="Q25">
        <v>20</v>
      </c>
      <c r="R25">
        <v>11</v>
      </c>
      <c r="S25">
        <v>11</v>
      </c>
      <c r="T25">
        <v>2</v>
      </c>
      <c r="U25">
        <v>16</v>
      </c>
      <c r="V25">
        <v>1</v>
      </c>
      <c r="W25">
        <v>11</v>
      </c>
      <c r="X25">
        <v>1</v>
      </c>
      <c r="Y25">
        <v>0</v>
      </c>
      <c r="Z25">
        <v>2</v>
      </c>
      <c r="AA25">
        <v>87</v>
      </c>
      <c r="AB25">
        <v>75</v>
      </c>
      <c r="AC25">
        <v>6.28</v>
      </c>
      <c r="AD25">
        <v>2.0379999999999998</v>
      </c>
      <c r="AE25">
        <v>10.199999999999999</v>
      </c>
      <c r="AF25">
        <v>1</v>
      </c>
      <c r="AG25">
        <v>8.1999999999999993</v>
      </c>
      <c r="AH25">
        <v>5.6</v>
      </c>
      <c r="AI25">
        <v>0.69</v>
      </c>
      <c r="AJ25" t="s">
        <v>37</v>
      </c>
      <c r="AK25" t="s">
        <v>207</v>
      </c>
      <c r="AL25" t="s">
        <v>838</v>
      </c>
      <c r="AM25" t="s">
        <v>820</v>
      </c>
      <c r="AN25" s="1">
        <f>IFERROR(VLOOKUP(B25,'CWS Salary 2024'!$A$1:$I$39,7,FALSE), "No salary data")</f>
        <v>83538</v>
      </c>
      <c r="AO25" s="1">
        <f t="shared" si="0"/>
        <v>835380</v>
      </c>
    </row>
    <row r="26" spans="1:41" x14ac:dyDescent="0.25">
      <c r="A26" s="19">
        <v>25</v>
      </c>
      <c r="B26" s="19" t="s">
        <v>208</v>
      </c>
      <c r="C26" s="19">
        <v>28</v>
      </c>
      <c r="D26" s="19" t="s">
        <v>37</v>
      </c>
      <c r="E26" s="19">
        <v>0.4</v>
      </c>
      <c r="F26" s="19">
        <v>0</v>
      </c>
      <c r="G26" s="19">
        <v>0</v>
      </c>
      <c r="H26" s="19"/>
      <c r="I26" s="19">
        <v>3.63</v>
      </c>
      <c r="J26" s="19">
        <v>15</v>
      </c>
      <c r="K26" s="19">
        <v>0</v>
      </c>
      <c r="L26" s="19">
        <v>6</v>
      </c>
      <c r="M26" s="19">
        <v>0</v>
      </c>
      <c r="N26" s="19">
        <v>0</v>
      </c>
      <c r="O26" s="19">
        <v>1</v>
      </c>
      <c r="P26" s="19">
        <v>17.100000000000001</v>
      </c>
      <c r="Q26" s="19">
        <v>13</v>
      </c>
      <c r="R26" s="19">
        <v>7</v>
      </c>
      <c r="S26" s="19">
        <v>7</v>
      </c>
      <c r="T26" s="19">
        <v>5</v>
      </c>
      <c r="U26" s="19">
        <v>9</v>
      </c>
      <c r="V26" s="19">
        <v>0</v>
      </c>
      <c r="W26" s="19">
        <v>13</v>
      </c>
      <c r="X26" s="19">
        <v>1</v>
      </c>
      <c r="Y26" s="19">
        <v>0</v>
      </c>
      <c r="Z26" s="19">
        <v>0</v>
      </c>
      <c r="AA26" s="19">
        <v>71</v>
      </c>
      <c r="AB26" s="19">
        <v>115</v>
      </c>
      <c r="AC26" s="19">
        <v>7.15</v>
      </c>
      <c r="AD26" s="19">
        <v>1.2689999999999999</v>
      </c>
      <c r="AE26" s="19">
        <v>6.8</v>
      </c>
      <c r="AF26" s="19">
        <v>2.6</v>
      </c>
      <c r="AG26" s="19">
        <v>4.7</v>
      </c>
      <c r="AH26" s="19">
        <v>6.8</v>
      </c>
      <c r="AI26" s="19">
        <v>1.44</v>
      </c>
      <c r="AJ26" s="19" t="s">
        <v>37</v>
      </c>
      <c r="AK26" s="19" t="s">
        <v>209</v>
      </c>
      <c r="AL26" s="19" t="s">
        <v>838</v>
      </c>
      <c r="AM26" s="19" t="s">
        <v>820</v>
      </c>
      <c r="AN26" s="108">
        <f>IFERROR(VLOOKUP(B26,'CWS Salary 2024'!$A$1:$I$39,7,FALSE), "No salary data")</f>
        <v>268191</v>
      </c>
      <c r="AO26" s="1">
        <f t="shared" si="0"/>
        <v>670477.5</v>
      </c>
    </row>
    <row r="27" spans="1:41" hidden="1" x14ac:dyDescent="0.25">
      <c r="A27">
        <v>26</v>
      </c>
      <c r="B27" t="s">
        <v>210</v>
      </c>
      <c r="C27">
        <v>28</v>
      </c>
      <c r="D27" t="s">
        <v>37</v>
      </c>
      <c r="E27">
        <v>0.1</v>
      </c>
      <c r="F27">
        <v>0</v>
      </c>
      <c r="G27">
        <v>2</v>
      </c>
      <c r="H27">
        <v>0</v>
      </c>
      <c r="I27">
        <v>4.8600000000000003</v>
      </c>
      <c r="J27">
        <v>5</v>
      </c>
      <c r="K27">
        <v>2</v>
      </c>
      <c r="L27">
        <v>2</v>
      </c>
      <c r="M27">
        <v>0</v>
      </c>
      <c r="N27">
        <v>0</v>
      </c>
      <c r="O27">
        <v>0</v>
      </c>
      <c r="P27">
        <v>16.2</v>
      </c>
      <c r="Q27">
        <v>17</v>
      </c>
      <c r="R27">
        <v>10</v>
      </c>
      <c r="S27">
        <v>9</v>
      </c>
      <c r="T27">
        <v>5</v>
      </c>
      <c r="U27">
        <v>6</v>
      </c>
      <c r="V27">
        <v>0</v>
      </c>
      <c r="W27">
        <v>13</v>
      </c>
      <c r="X27">
        <v>0</v>
      </c>
      <c r="Y27">
        <v>0</v>
      </c>
      <c r="Z27">
        <v>2</v>
      </c>
      <c r="AA27">
        <v>76</v>
      </c>
      <c r="AB27">
        <v>86</v>
      </c>
      <c r="AC27">
        <v>6.59</v>
      </c>
      <c r="AD27">
        <v>1.38</v>
      </c>
      <c r="AE27">
        <v>9.1999999999999993</v>
      </c>
      <c r="AF27">
        <v>2.7</v>
      </c>
      <c r="AG27">
        <v>3.2</v>
      </c>
      <c r="AH27">
        <v>7</v>
      </c>
      <c r="AI27">
        <v>2.17</v>
      </c>
      <c r="AJ27" t="s">
        <v>37</v>
      </c>
      <c r="AK27" t="s">
        <v>211</v>
      </c>
      <c r="AL27" t="s">
        <v>838</v>
      </c>
      <c r="AM27" t="s">
        <v>820</v>
      </c>
      <c r="AN27" s="1" t="str">
        <f>IFERROR(VLOOKUP(B27,'CWS Salary 2024'!$A$1:$I$39,7,FALSE), "No salary data")</f>
        <v>No salary data</v>
      </c>
      <c r="AO27" s="1" t="e">
        <f t="shared" si="0"/>
        <v>#VALUE!</v>
      </c>
    </row>
    <row r="28" spans="1:41" x14ac:dyDescent="0.25">
      <c r="A28" s="19">
        <v>27</v>
      </c>
      <c r="B28" s="19" t="s">
        <v>212</v>
      </c>
      <c r="C28" s="19">
        <v>33</v>
      </c>
      <c r="D28" s="19" t="s">
        <v>37</v>
      </c>
      <c r="E28" s="19">
        <v>-0.1</v>
      </c>
      <c r="F28" s="19">
        <v>0</v>
      </c>
      <c r="G28" s="19">
        <v>3</v>
      </c>
      <c r="H28" s="19">
        <v>0</v>
      </c>
      <c r="I28" s="19">
        <v>6.75</v>
      </c>
      <c r="J28" s="19">
        <v>4</v>
      </c>
      <c r="K28" s="19">
        <v>4</v>
      </c>
      <c r="L28" s="19">
        <v>0</v>
      </c>
      <c r="M28" s="19">
        <v>0</v>
      </c>
      <c r="N28" s="19">
        <v>0</v>
      </c>
      <c r="O28" s="19">
        <v>0</v>
      </c>
      <c r="P28" s="19">
        <v>16</v>
      </c>
      <c r="Q28" s="19">
        <v>22</v>
      </c>
      <c r="R28" s="19">
        <v>13</v>
      </c>
      <c r="S28" s="19">
        <v>12</v>
      </c>
      <c r="T28" s="19">
        <v>4</v>
      </c>
      <c r="U28" s="19">
        <v>9</v>
      </c>
      <c r="V28" s="19">
        <v>1</v>
      </c>
      <c r="W28" s="19">
        <v>15</v>
      </c>
      <c r="X28" s="19">
        <v>0</v>
      </c>
      <c r="Y28" s="19">
        <v>0</v>
      </c>
      <c r="Z28" s="19">
        <v>2</v>
      </c>
      <c r="AA28" s="19">
        <v>78</v>
      </c>
      <c r="AB28" s="19">
        <v>62</v>
      </c>
      <c r="AC28" s="19">
        <v>6.23</v>
      </c>
      <c r="AD28" s="19">
        <v>1.9379999999999999</v>
      </c>
      <c r="AE28" s="19">
        <v>12.4</v>
      </c>
      <c r="AF28" s="19">
        <v>2.2999999999999998</v>
      </c>
      <c r="AG28" s="19">
        <v>5.0999999999999996</v>
      </c>
      <c r="AH28" s="19">
        <v>8.4</v>
      </c>
      <c r="AI28" s="19">
        <v>1.67</v>
      </c>
      <c r="AJ28" s="19" t="s">
        <v>37</v>
      </c>
      <c r="AK28" s="19" t="s">
        <v>213</v>
      </c>
      <c r="AL28" s="19" t="s">
        <v>838</v>
      </c>
      <c r="AM28" s="19" t="s">
        <v>820</v>
      </c>
      <c r="AN28" s="108">
        <f>IFERROR(VLOOKUP(B28,'CWS Salary 2024'!$A$1:$I$39,7,FALSE), "No salary data")</f>
        <v>3000000</v>
      </c>
      <c r="AO28" s="1">
        <f t="shared" si="0"/>
        <v>-30000000</v>
      </c>
    </row>
    <row r="29" spans="1:41" hidden="1" x14ac:dyDescent="0.25">
      <c r="A29">
        <v>28</v>
      </c>
      <c r="B29" t="s">
        <v>214</v>
      </c>
      <c r="C29">
        <v>26</v>
      </c>
      <c r="D29" t="s">
        <v>37</v>
      </c>
      <c r="E29">
        <v>0.1</v>
      </c>
      <c r="F29">
        <v>0</v>
      </c>
      <c r="G29">
        <v>0</v>
      </c>
      <c r="I29">
        <v>4.8</v>
      </c>
      <c r="J29">
        <v>9</v>
      </c>
      <c r="K29">
        <v>0</v>
      </c>
      <c r="L29">
        <v>4</v>
      </c>
      <c r="M29">
        <v>0</v>
      </c>
      <c r="N29">
        <v>0</v>
      </c>
      <c r="O29">
        <v>0</v>
      </c>
      <c r="P29">
        <v>15</v>
      </c>
      <c r="Q29">
        <v>21</v>
      </c>
      <c r="R29">
        <v>9</v>
      </c>
      <c r="S29">
        <v>8</v>
      </c>
      <c r="T29">
        <v>2</v>
      </c>
      <c r="U29">
        <v>7</v>
      </c>
      <c r="V29">
        <v>0</v>
      </c>
      <c r="W29">
        <v>11</v>
      </c>
      <c r="X29">
        <v>0</v>
      </c>
      <c r="Y29">
        <v>1</v>
      </c>
      <c r="Z29">
        <v>0</v>
      </c>
      <c r="AA29">
        <v>72</v>
      </c>
      <c r="AB29">
        <v>88</v>
      </c>
      <c r="AC29">
        <v>4.83</v>
      </c>
      <c r="AD29">
        <v>1.867</v>
      </c>
      <c r="AE29">
        <v>12.6</v>
      </c>
      <c r="AF29">
        <v>1.2</v>
      </c>
      <c r="AG29">
        <v>4.2</v>
      </c>
      <c r="AH29">
        <v>6.6</v>
      </c>
      <c r="AI29">
        <v>1.57</v>
      </c>
      <c r="AJ29" t="s">
        <v>37</v>
      </c>
      <c r="AK29" t="s">
        <v>215</v>
      </c>
      <c r="AL29" t="s">
        <v>838</v>
      </c>
      <c r="AM29" t="s">
        <v>820</v>
      </c>
      <c r="AN29" s="1" t="str">
        <f>IFERROR(VLOOKUP(B29,'CWS Salary 2024'!$A$1:$I$39,7,FALSE), "No salary data")</f>
        <v>No salary data</v>
      </c>
      <c r="AO29" s="1" t="e">
        <f t="shared" si="0"/>
        <v>#VALUE!</v>
      </c>
    </row>
    <row r="30" spans="1:41" hidden="1" x14ac:dyDescent="0.25">
      <c r="A30" s="19">
        <v>29</v>
      </c>
      <c r="B30" s="19" t="s">
        <v>216</v>
      </c>
      <c r="C30" s="19">
        <v>25</v>
      </c>
      <c r="D30" s="19" t="s">
        <v>37</v>
      </c>
      <c r="E30" s="19">
        <v>-0.7</v>
      </c>
      <c r="F30" s="19">
        <v>1</v>
      </c>
      <c r="G30" s="19">
        <v>2</v>
      </c>
      <c r="H30" s="19">
        <v>0.33300000000000002</v>
      </c>
      <c r="I30" s="19">
        <v>7.07</v>
      </c>
      <c r="J30" s="19">
        <v>14</v>
      </c>
      <c r="K30" s="19">
        <v>0</v>
      </c>
      <c r="L30" s="19">
        <v>3</v>
      </c>
      <c r="M30" s="19">
        <v>0</v>
      </c>
      <c r="N30" s="19">
        <v>0</v>
      </c>
      <c r="O30" s="19">
        <v>1</v>
      </c>
      <c r="P30" s="19">
        <v>14</v>
      </c>
      <c r="Q30" s="19">
        <v>16</v>
      </c>
      <c r="R30" s="19">
        <v>16</v>
      </c>
      <c r="S30" s="19">
        <v>11</v>
      </c>
      <c r="T30" s="19">
        <v>2</v>
      </c>
      <c r="U30" s="19">
        <v>11</v>
      </c>
      <c r="V30" s="19">
        <v>1</v>
      </c>
      <c r="W30" s="19">
        <v>15</v>
      </c>
      <c r="X30" s="19">
        <v>0</v>
      </c>
      <c r="Y30" s="19">
        <v>0</v>
      </c>
      <c r="Z30" s="19">
        <v>4</v>
      </c>
      <c r="AA30" s="19">
        <v>68</v>
      </c>
      <c r="AB30" s="19">
        <v>60</v>
      </c>
      <c r="AC30" s="19">
        <v>5.24</v>
      </c>
      <c r="AD30" s="19">
        <v>1.929</v>
      </c>
      <c r="AE30" s="19">
        <v>10.3</v>
      </c>
      <c r="AF30" s="19">
        <v>1.3</v>
      </c>
      <c r="AG30" s="19">
        <v>7.1</v>
      </c>
      <c r="AH30" s="19">
        <v>9.6</v>
      </c>
      <c r="AI30" s="19">
        <v>1.36</v>
      </c>
      <c r="AJ30" s="19" t="s">
        <v>37</v>
      </c>
      <c r="AK30" s="19" t="s">
        <v>217</v>
      </c>
      <c r="AL30" s="19" t="s">
        <v>838</v>
      </c>
      <c r="AM30" s="19" t="s">
        <v>820</v>
      </c>
      <c r="AN30" s="108" t="str">
        <f>IFERROR(VLOOKUP(B30,'CWS Salary 2024'!$A$1:$I$39,7,FALSE), "No salary data")</f>
        <v>No salary data</v>
      </c>
      <c r="AO30" s="1" t="e">
        <f t="shared" si="0"/>
        <v>#VALUE!</v>
      </c>
    </row>
    <row r="31" spans="1:41" hidden="1" x14ac:dyDescent="0.25">
      <c r="A31">
        <v>30</v>
      </c>
      <c r="B31" t="s">
        <v>218</v>
      </c>
      <c r="C31">
        <v>27</v>
      </c>
      <c r="D31" t="s">
        <v>37</v>
      </c>
      <c r="E31">
        <v>-0.4</v>
      </c>
      <c r="F31">
        <v>0</v>
      </c>
      <c r="G31">
        <v>2</v>
      </c>
      <c r="H31">
        <v>0</v>
      </c>
      <c r="I31">
        <v>10.8</v>
      </c>
      <c r="J31">
        <v>2</v>
      </c>
      <c r="K31">
        <v>2</v>
      </c>
      <c r="L31">
        <v>0</v>
      </c>
      <c r="M31">
        <v>0</v>
      </c>
      <c r="N31">
        <v>0</v>
      </c>
      <c r="O31">
        <v>0</v>
      </c>
      <c r="P31">
        <v>8.1</v>
      </c>
      <c r="Q31">
        <v>15</v>
      </c>
      <c r="R31">
        <v>10</v>
      </c>
      <c r="S31">
        <v>10</v>
      </c>
      <c r="T31">
        <v>2</v>
      </c>
      <c r="U31">
        <v>5</v>
      </c>
      <c r="V31">
        <v>0</v>
      </c>
      <c r="W31">
        <v>7</v>
      </c>
      <c r="X31">
        <v>1</v>
      </c>
      <c r="Y31">
        <v>0</v>
      </c>
      <c r="Z31">
        <v>0</v>
      </c>
      <c r="AA31">
        <v>46</v>
      </c>
      <c r="AB31">
        <v>40</v>
      </c>
      <c r="AC31">
        <v>6.77</v>
      </c>
      <c r="AD31">
        <v>2.4</v>
      </c>
      <c r="AE31">
        <v>16.2</v>
      </c>
      <c r="AF31">
        <v>2.2000000000000002</v>
      </c>
      <c r="AG31">
        <v>5.4</v>
      </c>
      <c r="AH31">
        <v>7.6</v>
      </c>
      <c r="AI31">
        <v>1.4</v>
      </c>
      <c r="AJ31" t="s">
        <v>37</v>
      </c>
      <c r="AK31" t="s">
        <v>219</v>
      </c>
      <c r="AL31" t="s">
        <v>838</v>
      </c>
      <c r="AM31" t="s">
        <v>820</v>
      </c>
      <c r="AN31" s="1" t="str">
        <f>IFERROR(VLOOKUP(B31,'CWS Salary 2024'!$A$1:$I$39,7,FALSE), "No salary data")</f>
        <v>No salary data</v>
      </c>
      <c r="AO31" s="1" t="e">
        <f t="shared" si="0"/>
        <v>#VALUE!</v>
      </c>
    </row>
    <row r="32" spans="1:41" x14ac:dyDescent="0.25">
      <c r="A32" s="19">
        <v>31</v>
      </c>
      <c r="B32" s="19" t="s">
        <v>220</v>
      </c>
      <c r="C32" s="19">
        <v>29</v>
      </c>
      <c r="D32" s="19" t="s">
        <v>37</v>
      </c>
      <c r="E32" s="19">
        <v>0.3</v>
      </c>
      <c r="F32" s="19">
        <v>0</v>
      </c>
      <c r="G32" s="19">
        <v>1</v>
      </c>
      <c r="H32" s="19">
        <v>0</v>
      </c>
      <c r="I32" s="19">
        <v>2.7</v>
      </c>
      <c r="J32" s="19">
        <v>6</v>
      </c>
      <c r="K32" s="19">
        <v>1</v>
      </c>
      <c r="L32" s="19">
        <v>1</v>
      </c>
      <c r="M32" s="19">
        <v>0</v>
      </c>
      <c r="N32" s="19">
        <v>0</v>
      </c>
      <c r="O32" s="19">
        <v>0</v>
      </c>
      <c r="P32" s="19">
        <v>6.2</v>
      </c>
      <c r="Q32" s="19">
        <v>5</v>
      </c>
      <c r="R32" s="19">
        <v>2</v>
      </c>
      <c r="S32" s="19">
        <v>2</v>
      </c>
      <c r="T32" s="19">
        <v>1</v>
      </c>
      <c r="U32" s="19">
        <v>5</v>
      </c>
      <c r="V32" s="19">
        <v>0</v>
      </c>
      <c r="W32" s="19">
        <v>4</v>
      </c>
      <c r="X32" s="19">
        <v>0</v>
      </c>
      <c r="Y32" s="19">
        <v>0</v>
      </c>
      <c r="Z32" s="19">
        <v>0</v>
      </c>
      <c r="AA32" s="19">
        <v>30</v>
      </c>
      <c r="AB32" s="19">
        <v>160</v>
      </c>
      <c r="AC32" s="19">
        <v>6.17</v>
      </c>
      <c r="AD32" s="19">
        <v>1.5</v>
      </c>
      <c r="AE32" s="19">
        <v>6.8</v>
      </c>
      <c r="AF32" s="19">
        <v>1.4</v>
      </c>
      <c r="AG32" s="19">
        <v>6.8</v>
      </c>
      <c r="AH32" s="19">
        <v>5.4</v>
      </c>
      <c r="AI32" s="19">
        <v>0.8</v>
      </c>
      <c r="AJ32" s="19" t="s">
        <v>37</v>
      </c>
      <c r="AK32" s="19" t="s">
        <v>221</v>
      </c>
      <c r="AL32" s="19" t="s">
        <v>838</v>
      </c>
      <c r="AM32" s="19" t="s">
        <v>820</v>
      </c>
      <c r="AN32" s="108">
        <f>IFERROR(VLOOKUP(B32,'CWS Salary 2024'!$A$1:$I$39,7,FALSE), "No salary data")</f>
        <v>108864</v>
      </c>
      <c r="AO32" s="1">
        <f t="shared" si="0"/>
        <v>362880</v>
      </c>
    </row>
    <row r="33" spans="1:41" hidden="1" x14ac:dyDescent="0.25">
      <c r="A33">
        <v>32</v>
      </c>
      <c r="B33" t="s">
        <v>222</v>
      </c>
      <c r="C33">
        <v>22</v>
      </c>
      <c r="D33" t="s">
        <v>37</v>
      </c>
      <c r="E33">
        <v>0.1</v>
      </c>
      <c r="F33">
        <v>0</v>
      </c>
      <c r="G33">
        <v>1</v>
      </c>
      <c r="H33">
        <v>0</v>
      </c>
      <c r="I33">
        <v>1.5</v>
      </c>
      <c r="J33">
        <v>6</v>
      </c>
      <c r="K33">
        <v>0</v>
      </c>
      <c r="L33">
        <v>2</v>
      </c>
      <c r="M33">
        <v>0</v>
      </c>
      <c r="N33">
        <v>0</v>
      </c>
      <c r="O33">
        <v>0</v>
      </c>
      <c r="P33">
        <v>6</v>
      </c>
      <c r="Q33">
        <v>3</v>
      </c>
      <c r="R33">
        <v>3</v>
      </c>
      <c r="S33">
        <v>1</v>
      </c>
      <c r="T33">
        <v>0</v>
      </c>
      <c r="U33">
        <v>8</v>
      </c>
      <c r="V33">
        <v>0</v>
      </c>
      <c r="W33">
        <v>6</v>
      </c>
      <c r="X33">
        <v>0</v>
      </c>
      <c r="Y33">
        <v>0</v>
      </c>
      <c r="Z33">
        <v>0</v>
      </c>
      <c r="AA33">
        <v>30</v>
      </c>
      <c r="AB33">
        <v>290</v>
      </c>
      <c r="AC33">
        <v>5.17</v>
      </c>
      <c r="AD33">
        <v>1.833</v>
      </c>
      <c r="AE33">
        <v>4.5</v>
      </c>
      <c r="AF33">
        <v>0</v>
      </c>
      <c r="AG33">
        <v>12</v>
      </c>
      <c r="AH33">
        <v>9</v>
      </c>
      <c r="AI33">
        <v>0.75</v>
      </c>
      <c r="AJ33" t="s">
        <v>37</v>
      </c>
      <c r="AK33" t="s">
        <v>223</v>
      </c>
      <c r="AL33" t="s">
        <v>838</v>
      </c>
      <c r="AM33" t="s">
        <v>820</v>
      </c>
      <c r="AN33" s="1" t="str">
        <f>IFERROR(VLOOKUP(B33,'CWS Salary 2024'!$A$1:$I$39,7,FALSE), "No salary data")</f>
        <v>No salary data</v>
      </c>
      <c r="AO33" s="1" t="e">
        <f t="shared" si="0"/>
        <v>#VALUE!</v>
      </c>
    </row>
    <row r="34" spans="1:41" hidden="1" x14ac:dyDescent="0.25">
      <c r="A34" s="19">
        <v>33</v>
      </c>
      <c r="B34" s="19" t="s">
        <v>224</v>
      </c>
      <c r="C34" s="19">
        <v>36</v>
      </c>
      <c r="D34" s="19" t="s">
        <v>37</v>
      </c>
      <c r="E34" s="19">
        <v>-0.2</v>
      </c>
      <c r="F34" s="19">
        <v>0</v>
      </c>
      <c r="G34" s="19">
        <v>1</v>
      </c>
      <c r="H34" s="19">
        <v>0</v>
      </c>
      <c r="I34" s="19">
        <v>9</v>
      </c>
      <c r="J34" s="19">
        <v>5</v>
      </c>
      <c r="K34" s="19">
        <v>0</v>
      </c>
      <c r="L34" s="19">
        <v>3</v>
      </c>
      <c r="M34" s="19">
        <v>0</v>
      </c>
      <c r="N34" s="19">
        <v>0</v>
      </c>
      <c r="O34" s="19">
        <v>0</v>
      </c>
      <c r="P34" s="19">
        <v>4</v>
      </c>
      <c r="Q34" s="19">
        <v>8</v>
      </c>
      <c r="R34" s="19">
        <v>5</v>
      </c>
      <c r="S34" s="19">
        <v>4</v>
      </c>
      <c r="T34" s="19">
        <v>1</v>
      </c>
      <c r="U34" s="19">
        <v>4</v>
      </c>
      <c r="V34" s="19">
        <v>1</v>
      </c>
      <c r="W34" s="19">
        <v>4</v>
      </c>
      <c r="X34" s="19">
        <v>0</v>
      </c>
      <c r="Y34" s="19">
        <v>0</v>
      </c>
      <c r="Z34" s="19">
        <v>1</v>
      </c>
      <c r="AA34" s="19">
        <v>24</v>
      </c>
      <c r="AB34" s="19">
        <v>50</v>
      </c>
      <c r="AC34" s="19">
        <v>7.42</v>
      </c>
      <c r="AD34" s="19">
        <v>3</v>
      </c>
      <c r="AE34" s="19">
        <v>18</v>
      </c>
      <c r="AF34" s="19">
        <v>2.2999999999999998</v>
      </c>
      <c r="AG34" s="19">
        <v>9</v>
      </c>
      <c r="AH34" s="19">
        <v>9</v>
      </c>
      <c r="AI34" s="19">
        <v>1</v>
      </c>
      <c r="AJ34" s="19" t="s">
        <v>37</v>
      </c>
      <c r="AK34" s="19" t="s">
        <v>225</v>
      </c>
      <c r="AL34" s="19" t="s">
        <v>838</v>
      </c>
      <c r="AM34" s="19" t="s">
        <v>820</v>
      </c>
      <c r="AN34" s="108" t="str">
        <f>IFERROR(VLOOKUP(B34,'CWS Salary 2024'!$A$1:$I$39,7,FALSE), "No salary data")</f>
        <v>No salary data</v>
      </c>
      <c r="AO34" s="1" t="e">
        <f t="shared" si="0"/>
        <v>#VALUE!</v>
      </c>
    </row>
    <row r="35" spans="1:41" x14ac:dyDescent="0.25">
      <c r="A35">
        <v>34</v>
      </c>
      <c r="B35" t="s">
        <v>226</v>
      </c>
      <c r="C35">
        <v>25</v>
      </c>
      <c r="D35" t="s">
        <v>37</v>
      </c>
      <c r="E35">
        <v>0</v>
      </c>
      <c r="F35">
        <v>0</v>
      </c>
      <c r="G35">
        <v>0</v>
      </c>
      <c r="I35">
        <v>4.5</v>
      </c>
      <c r="J35">
        <v>1</v>
      </c>
      <c r="K35">
        <v>0</v>
      </c>
      <c r="L35">
        <v>1</v>
      </c>
      <c r="M35">
        <v>0</v>
      </c>
      <c r="N35">
        <v>0</v>
      </c>
      <c r="O35">
        <v>0</v>
      </c>
      <c r="P35">
        <v>2</v>
      </c>
      <c r="Q35">
        <v>2</v>
      </c>
      <c r="R35">
        <v>1</v>
      </c>
      <c r="S35">
        <v>1</v>
      </c>
      <c r="T35">
        <v>0</v>
      </c>
      <c r="U35">
        <v>1</v>
      </c>
      <c r="V35">
        <v>0</v>
      </c>
      <c r="W35">
        <v>1</v>
      </c>
      <c r="X35">
        <v>1</v>
      </c>
      <c r="Y35">
        <v>0</v>
      </c>
      <c r="Z35">
        <v>1</v>
      </c>
      <c r="AA35">
        <v>9</v>
      </c>
      <c r="AB35">
        <v>108</v>
      </c>
      <c r="AC35">
        <v>5.17</v>
      </c>
      <c r="AD35">
        <v>1.5</v>
      </c>
      <c r="AE35">
        <v>9</v>
      </c>
      <c r="AF35">
        <v>0</v>
      </c>
      <c r="AG35">
        <v>4.5</v>
      </c>
      <c r="AH35">
        <v>4.5</v>
      </c>
      <c r="AI35">
        <v>1</v>
      </c>
      <c r="AJ35" t="s">
        <v>37</v>
      </c>
      <c r="AK35" t="s">
        <v>227</v>
      </c>
      <c r="AL35" t="s">
        <v>838</v>
      </c>
      <c r="AM35" t="s">
        <v>820</v>
      </c>
      <c r="AN35" s="1">
        <f>IFERROR(VLOOKUP(B35,'CWS Salary 2024'!$A$1:$I$39,7,FALSE), "No salary data")</f>
        <v>67626</v>
      </c>
      <c r="AO35" s="1" t="e">
        <f t="shared" si="0"/>
        <v>#DIV/0!</v>
      </c>
    </row>
    <row r="36" spans="1:41" hidden="1" x14ac:dyDescent="0.25">
      <c r="A36" s="19">
        <v>35</v>
      </c>
      <c r="B36" s="19" t="s">
        <v>86</v>
      </c>
      <c r="C36" s="19">
        <v>30</v>
      </c>
      <c r="D36" s="19" t="s">
        <v>37</v>
      </c>
      <c r="E36" s="19">
        <v>0</v>
      </c>
      <c r="F36" s="19">
        <v>0</v>
      </c>
      <c r="G36" s="19">
        <v>0</v>
      </c>
      <c r="H36" s="19"/>
      <c r="I36" s="19">
        <v>0</v>
      </c>
      <c r="J36" s="19">
        <v>1</v>
      </c>
      <c r="K36" s="19">
        <v>0</v>
      </c>
      <c r="L36" s="19">
        <v>1</v>
      </c>
      <c r="M36" s="19">
        <v>0</v>
      </c>
      <c r="N36" s="19">
        <v>0</v>
      </c>
      <c r="O36" s="19">
        <v>0</v>
      </c>
      <c r="P36" s="19">
        <v>1</v>
      </c>
      <c r="Q36" s="19">
        <v>2</v>
      </c>
      <c r="R36" s="19">
        <v>0</v>
      </c>
      <c r="S36" s="19">
        <v>0</v>
      </c>
      <c r="T36" s="19">
        <v>0</v>
      </c>
      <c r="U36" s="19">
        <v>0</v>
      </c>
      <c r="V36" s="19">
        <v>0</v>
      </c>
      <c r="W36" s="19">
        <v>0</v>
      </c>
      <c r="X36" s="19">
        <v>0</v>
      </c>
      <c r="Y36" s="19">
        <v>0</v>
      </c>
      <c r="Z36" s="19">
        <v>0</v>
      </c>
      <c r="AA36" s="19">
        <v>4</v>
      </c>
      <c r="AB36" s="19"/>
      <c r="AC36" s="19">
        <v>3.17</v>
      </c>
      <c r="AD36" s="19">
        <v>2</v>
      </c>
      <c r="AE36" s="19">
        <v>18</v>
      </c>
      <c r="AF36" s="19">
        <v>0</v>
      </c>
      <c r="AG36" s="19">
        <v>0</v>
      </c>
      <c r="AH36" s="19">
        <v>0</v>
      </c>
      <c r="AI36" s="19"/>
      <c r="AJ36" s="19" t="s">
        <v>37</v>
      </c>
      <c r="AK36" s="19" t="s">
        <v>88</v>
      </c>
      <c r="AL36" s="19" t="s">
        <v>838</v>
      </c>
      <c r="AM36" s="19" t="s">
        <v>820</v>
      </c>
      <c r="AN36" s="108" t="str">
        <f>IFERROR(VLOOKUP(B36,'CWS Salary 2024'!$A$1:$I$39,7,FALSE), "No salary data")</f>
        <v>No salary data</v>
      </c>
      <c r="AO36" s="1" t="e">
        <f t="shared" si="0"/>
        <v>#VALUE!</v>
      </c>
    </row>
    <row r="37" spans="1:41" x14ac:dyDescent="0.25">
      <c r="A37">
        <v>1</v>
      </c>
      <c r="B37" t="s">
        <v>299</v>
      </c>
      <c r="C37">
        <v>25</v>
      </c>
      <c r="D37" t="s">
        <v>160</v>
      </c>
      <c r="E37">
        <v>2.7</v>
      </c>
      <c r="F37">
        <v>12</v>
      </c>
      <c r="G37">
        <v>8</v>
      </c>
      <c r="H37">
        <v>0.6</v>
      </c>
      <c r="I37">
        <v>3.47</v>
      </c>
      <c r="J37">
        <v>31</v>
      </c>
      <c r="K37">
        <v>31</v>
      </c>
      <c r="L37">
        <v>0</v>
      </c>
      <c r="M37">
        <v>0</v>
      </c>
      <c r="N37">
        <v>0</v>
      </c>
      <c r="O37">
        <v>0</v>
      </c>
      <c r="P37">
        <v>173.2</v>
      </c>
      <c r="Q37">
        <v>150</v>
      </c>
      <c r="R37">
        <v>70</v>
      </c>
      <c r="S37">
        <v>67</v>
      </c>
      <c r="T37">
        <v>22</v>
      </c>
      <c r="U37">
        <v>44</v>
      </c>
      <c r="V37">
        <v>0</v>
      </c>
      <c r="W37">
        <v>187</v>
      </c>
      <c r="X37">
        <v>8</v>
      </c>
      <c r="Y37">
        <v>0</v>
      </c>
      <c r="Z37">
        <v>2</v>
      </c>
      <c r="AA37">
        <v>710</v>
      </c>
      <c r="AB37">
        <v>117</v>
      </c>
      <c r="AC37">
        <v>3.56</v>
      </c>
      <c r="AD37">
        <v>1.117</v>
      </c>
      <c r="AE37">
        <v>7.8</v>
      </c>
      <c r="AF37">
        <v>1.1000000000000001</v>
      </c>
      <c r="AG37">
        <v>2.2999999999999998</v>
      </c>
      <c r="AH37">
        <v>9.6999999999999993</v>
      </c>
      <c r="AI37">
        <v>4.25</v>
      </c>
      <c r="AJ37" t="s">
        <v>37</v>
      </c>
      <c r="AK37" t="s">
        <v>300</v>
      </c>
      <c r="AL37" t="s">
        <v>838</v>
      </c>
      <c r="AM37" t="s">
        <v>821</v>
      </c>
      <c r="AN37" s="1">
        <f>IFERROR(VLOOKUP(B37,'CLE Salary 2024'!A1:I33,7,FALSE), "No salary data")</f>
        <v>1157584</v>
      </c>
      <c r="AO37" s="1">
        <f t="shared" si="0"/>
        <v>428734.81481481477</v>
      </c>
    </row>
    <row r="38" spans="1:41" hidden="1" x14ac:dyDescent="0.25">
      <c r="A38" s="19">
        <v>2</v>
      </c>
      <c r="B38" s="19" t="s">
        <v>301</v>
      </c>
      <c r="C38" s="19">
        <v>32</v>
      </c>
      <c r="D38" s="19" t="s">
        <v>160</v>
      </c>
      <c r="E38" s="19">
        <v>1.5</v>
      </c>
      <c r="F38" s="19">
        <v>13</v>
      </c>
      <c r="G38" s="19">
        <v>10</v>
      </c>
      <c r="H38" s="19">
        <v>0.56499999999999995</v>
      </c>
      <c r="I38" s="19">
        <v>3.81</v>
      </c>
      <c r="J38" s="19">
        <v>29</v>
      </c>
      <c r="K38" s="19">
        <v>29</v>
      </c>
      <c r="L38" s="19">
        <v>0</v>
      </c>
      <c r="M38" s="19">
        <v>0</v>
      </c>
      <c r="N38" s="19">
        <v>0</v>
      </c>
      <c r="O38" s="19">
        <v>0</v>
      </c>
      <c r="P38" s="19">
        <v>151</v>
      </c>
      <c r="Q38" s="19">
        <v>139</v>
      </c>
      <c r="R38" s="19">
        <v>67</v>
      </c>
      <c r="S38" s="19">
        <v>64</v>
      </c>
      <c r="T38" s="19">
        <v>23</v>
      </c>
      <c r="U38" s="19">
        <v>49</v>
      </c>
      <c r="V38" s="19">
        <v>0</v>
      </c>
      <c r="W38" s="19">
        <v>118</v>
      </c>
      <c r="X38" s="19">
        <v>5</v>
      </c>
      <c r="Y38" s="19">
        <v>1</v>
      </c>
      <c r="Z38" s="19">
        <v>2</v>
      </c>
      <c r="AA38" s="19">
        <v>632</v>
      </c>
      <c r="AB38" s="19">
        <v>107</v>
      </c>
      <c r="AC38" s="19">
        <v>4.66</v>
      </c>
      <c r="AD38" s="19">
        <v>1.2450000000000001</v>
      </c>
      <c r="AE38" s="19">
        <v>8.3000000000000007</v>
      </c>
      <c r="AF38" s="19">
        <v>1.4</v>
      </c>
      <c r="AG38" s="19">
        <v>2.9</v>
      </c>
      <c r="AH38" s="19">
        <v>7</v>
      </c>
      <c r="AI38" s="19">
        <v>2.41</v>
      </c>
      <c r="AJ38" s="19" t="s">
        <v>37</v>
      </c>
      <c r="AK38" s="19" t="s">
        <v>302</v>
      </c>
      <c r="AL38" s="19" t="s">
        <v>838</v>
      </c>
      <c r="AM38" s="19" t="s">
        <v>821</v>
      </c>
      <c r="AN38" s="108" t="str">
        <f>IFERROR(VLOOKUP(B38,'CLE Salary 2024'!A2:I34,7,FALSE), "No salary data")</f>
        <v>No salary data</v>
      </c>
      <c r="AO38" s="1" t="e">
        <f t="shared" si="0"/>
        <v>#VALUE!</v>
      </c>
    </row>
    <row r="39" spans="1:41" hidden="1" x14ac:dyDescent="0.25">
      <c r="A39">
        <v>3</v>
      </c>
      <c r="B39" t="s">
        <v>303</v>
      </c>
      <c r="C39">
        <v>37</v>
      </c>
      <c r="D39" t="s">
        <v>160</v>
      </c>
      <c r="E39">
        <v>-1.2</v>
      </c>
      <c r="F39">
        <v>3</v>
      </c>
      <c r="G39">
        <v>10</v>
      </c>
      <c r="H39">
        <v>0.23100000000000001</v>
      </c>
      <c r="I39">
        <v>5.64</v>
      </c>
      <c r="J39">
        <v>21</v>
      </c>
      <c r="K39">
        <v>21</v>
      </c>
      <c r="L39">
        <v>0</v>
      </c>
      <c r="M39">
        <v>0</v>
      </c>
      <c r="N39">
        <v>0</v>
      </c>
      <c r="O39">
        <v>0</v>
      </c>
      <c r="P39">
        <v>103.2</v>
      </c>
      <c r="Q39">
        <v>112</v>
      </c>
      <c r="R39">
        <v>68</v>
      </c>
      <c r="S39">
        <v>65</v>
      </c>
      <c r="T39">
        <v>19</v>
      </c>
      <c r="U39">
        <v>33</v>
      </c>
      <c r="V39">
        <v>0</v>
      </c>
      <c r="W39">
        <v>89</v>
      </c>
      <c r="X39">
        <v>5</v>
      </c>
      <c r="Y39">
        <v>0</v>
      </c>
      <c r="Z39">
        <v>5</v>
      </c>
      <c r="AA39">
        <v>447</v>
      </c>
      <c r="AB39">
        <v>72</v>
      </c>
      <c r="AC39">
        <v>4.93</v>
      </c>
      <c r="AD39">
        <v>1.399</v>
      </c>
      <c r="AE39">
        <v>9.6999999999999993</v>
      </c>
      <c r="AF39">
        <v>1.6</v>
      </c>
      <c r="AG39">
        <v>2.9</v>
      </c>
      <c r="AH39">
        <v>7.7</v>
      </c>
      <c r="AI39">
        <v>2.7</v>
      </c>
      <c r="AJ39" t="s">
        <v>37</v>
      </c>
      <c r="AK39" t="s">
        <v>304</v>
      </c>
      <c r="AL39" t="s">
        <v>838</v>
      </c>
      <c r="AM39" t="s">
        <v>821</v>
      </c>
      <c r="AN39" s="1" t="str">
        <f>IFERROR(VLOOKUP(B39,'CLE Salary 2024'!A3:I35,7,FALSE), "No salary data")</f>
        <v>No salary data</v>
      </c>
      <c r="AO39" s="1" t="e">
        <f t="shared" si="0"/>
        <v>#VALUE!</v>
      </c>
    </row>
    <row r="40" spans="1:41" hidden="1" x14ac:dyDescent="0.25">
      <c r="A40" s="19">
        <v>4</v>
      </c>
      <c r="B40" s="19" t="s">
        <v>305</v>
      </c>
      <c r="C40" s="19">
        <v>25</v>
      </c>
      <c r="D40" s="19" t="s">
        <v>160</v>
      </c>
      <c r="E40" s="19">
        <v>-1.1000000000000001</v>
      </c>
      <c r="F40" s="19">
        <v>8</v>
      </c>
      <c r="G40" s="19">
        <v>5</v>
      </c>
      <c r="H40" s="19">
        <v>0.61499999999999999</v>
      </c>
      <c r="I40" s="19">
        <v>5.73</v>
      </c>
      <c r="J40" s="19">
        <v>20</v>
      </c>
      <c r="K40" s="19">
        <v>20</v>
      </c>
      <c r="L40" s="19">
        <v>0</v>
      </c>
      <c r="M40" s="19">
        <v>0</v>
      </c>
      <c r="N40" s="19">
        <v>0</v>
      </c>
      <c r="O40" s="19">
        <v>0</v>
      </c>
      <c r="P40" s="19">
        <v>97.1</v>
      </c>
      <c r="Q40" s="19">
        <v>113</v>
      </c>
      <c r="R40" s="19">
        <v>63</v>
      </c>
      <c r="S40" s="19">
        <v>62</v>
      </c>
      <c r="T40" s="19">
        <v>22</v>
      </c>
      <c r="U40" s="19">
        <v>41</v>
      </c>
      <c r="V40" s="19">
        <v>0</v>
      </c>
      <c r="W40" s="19">
        <v>79</v>
      </c>
      <c r="X40" s="19">
        <v>4</v>
      </c>
      <c r="Y40" s="19">
        <v>0</v>
      </c>
      <c r="Z40" s="19">
        <v>4</v>
      </c>
      <c r="AA40" s="19">
        <v>432</v>
      </c>
      <c r="AB40" s="19">
        <v>71</v>
      </c>
      <c r="AC40" s="19">
        <v>5.87</v>
      </c>
      <c r="AD40" s="19">
        <v>1.5820000000000001</v>
      </c>
      <c r="AE40" s="19">
        <v>10.4</v>
      </c>
      <c r="AF40" s="19">
        <v>2</v>
      </c>
      <c r="AG40" s="19">
        <v>3.8</v>
      </c>
      <c r="AH40" s="19">
        <v>7.3</v>
      </c>
      <c r="AI40" s="19">
        <v>1.93</v>
      </c>
      <c r="AJ40" s="19" t="s">
        <v>37</v>
      </c>
      <c r="AK40" s="19" t="s">
        <v>306</v>
      </c>
      <c r="AL40" s="19" t="s">
        <v>838</v>
      </c>
      <c r="AM40" s="19" t="s">
        <v>821</v>
      </c>
      <c r="AN40" s="108" t="str">
        <f>IFERROR(VLOOKUP(B40,'CLE Salary 2024'!A4:I36,7,FALSE), "No salary data")</f>
        <v>No salary data</v>
      </c>
      <c r="AO40" s="1" t="e">
        <f t="shared" si="0"/>
        <v>#VALUE!</v>
      </c>
    </row>
    <row r="41" spans="1:41" x14ac:dyDescent="0.25">
      <c r="A41">
        <v>5</v>
      </c>
      <c r="B41" t="s">
        <v>307</v>
      </c>
      <c r="C41">
        <v>24</v>
      </c>
      <c r="D41" t="s">
        <v>160</v>
      </c>
      <c r="E41">
        <v>-0.1</v>
      </c>
      <c r="F41">
        <v>3</v>
      </c>
      <c r="G41">
        <v>10</v>
      </c>
      <c r="H41">
        <v>0.23100000000000001</v>
      </c>
      <c r="I41">
        <v>4.8600000000000003</v>
      </c>
      <c r="J41">
        <v>16</v>
      </c>
      <c r="K41">
        <v>16</v>
      </c>
      <c r="L41">
        <v>0</v>
      </c>
      <c r="M41">
        <v>0</v>
      </c>
      <c r="N41">
        <v>0</v>
      </c>
      <c r="O41">
        <v>0</v>
      </c>
      <c r="P41">
        <v>76</v>
      </c>
      <c r="Q41">
        <v>72</v>
      </c>
      <c r="R41">
        <v>42</v>
      </c>
      <c r="S41">
        <v>41</v>
      </c>
      <c r="T41">
        <v>7</v>
      </c>
      <c r="U41">
        <v>32</v>
      </c>
      <c r="V41">
        <v>0</v>
      </c>
      <c r="W41">
        <v>79</v>
      </c>
      <c r="X41">
        <v>3</v>
      </c>
      <c r="Y41">
        <v>0</v>
      </c>
      <c r="Z41">
        <v>2</v>
      </c>
      <c r="AA41">
        <v>332</v>
      </c>
      <c r="AB41">
        <v>84</v>
      </c>
      <c r="AC41">
        <v>3.67</v>
      </c>
      <c r="AD41">
        <v>1.3680000000000001</v>
      </c>
      <c r="AE41">
        <v>8.5</v>
      </c>
      <c r="AF41">
        <v>0.8</v>
      </c>
      <c r="AG41">
        <v>3.8</v>
      </c>
      <c r="AH41">
        <v>9.4</v>
      </c>
      <c r="AI41">
        <v>2.4700000000000002</v>
      </c>
      <c r="AJ41" t="s">
        <v>37</v>
      </c>
      <c r="AK41" t="s">
        <v>308</v>
      </c>
      <c r="AL41" t="s">
        <v>838</v>
      </c>
      <c r="AM41" t="s">
        <v>821</v>
      </c>
      <c r="AN41" s="1">
        <f>IFERROR(VLOOKUP(B41,'CLE Salary 2024'!A5:I37,7,FALSE), "No salary data")</f>
        <v>742100</v>
      </c>
      <c r="AO41" s="1">
        <f t="shared" si="0"/>
        <v>-7421000</v>
      </c>
    </row>
    <row r="42" spans="1:41" hidden="1" x14ac:dyDescent="0.25">
      <c r="A42" s="19">
        <v>6</v>
      </c>
      <c r="B42" s="19" t="s">
        <v>309</v>
      </c>
      <c r="C42" s="19">
        <v>26</v>
      </c>
      <c r="D42" s="19" t="s">
        <v>160</v>
      </c>
      <c r="E42" s="19">
        <v>-0.5</v>
      </c>
      <c r="F42" s="19">
        <v>3</v>
      </c>
      <c r="G42" s="19">
        <v>5</v>
      </c>
      <c r="H42" s="19">
        <v>0.375</v>
      </c>
      <c r="I42" s="19">
        <v>5.1100000000000003</v>
      </c>
      <c r="J42" s="19">
        <v>16</v>
      </c>
      <c r="K42" s="19">
        <v>16</v>
      </c>
      <c r="L42" s="19">
        <v>0</v>
      </c>
      <c r="M42" s="19">
        <v>0</v>
      </c>
      <c r="N42" s="19">
        <v>0</v>
      </c>
      <c r="O42" s="19">
        <v>0</v>
      </c>
      <c r="P42" s="19">
        <v>75.2</v>
      </c>
      <c r="Q42" s="19">
        <v>69</v>
      </c>
      <c r="R42" s="19">
        <v>46</v>
      </c>
      <c r="S42" s="19">
        <v>43</v>
      </c>
      <c r="T42" s="19">
        <v>19</v>
      </c>
      <c r="U42" s="19">
        <v>49</v>
      </c>
      <c r="V42" s="19">
        <v>1</v>
      </c>
      <c r="W42" s="19">
        <v>74</v>
      </c>
      <c r="X42" s="19">
        <v>1</v>
      </c>
      <c r="Y42" s="19">
        <v>0</v>
      </c>
      <c r="Z42" s="19">
        <v>5</v>
      </c>
      <c r="AA42" s="19">
        <v>340</v>
      </c>
      <c r="AB42" s="19">
        <v>80</v>
      </c>
      <c r="AC42" s="19">
        <v>6.46</v>
      </c>
      <c r="AD42" s="19">
        <v>1.5589999999999999</v>
      </c>
      <c r="AE42" s="19">
        <v>8.1999999999999993</v>
      </c>
      <c r="AF42" s="19">
        <v>2.2999999999999998</v>
      </c>
      <c r="AG42" s="19">
        <v>5.8</v>
      </c>
      <c r="AH42" s="19">
        <v>8.8000000000000007</v>
      </c>
      <c r="AI42" s="19">
        <v>1.51</v>
      </c>
      <c r="AJ42" s="19" t="s">
        <v>37</v>
      </c>
      <c r="AK42" s="19" t="s">
        <v>310</v>
      </c>
      <c r="AL42" s="19" t="s">
        <v>838</v>
      </c>
      <c r="AM42" s="19" t="s">
        <v>821</v>
      </c>
      <c r="AN42" s="108" t="str">
        <f>IFERROR(VLOOKUP(B42,'CLE Salary 2024'!A6:I38,7,FALSE), "No salary data")</f>
        <v>No salary data</v>
      </c>
      <c r="AO42" s="1" t="e">
        <f t="shared" si="0"/>
        <v>#VALUE!</v>
      </c>
    </row>
    <row r="43" spans="1:41" hidden="1" x14ac:dyDescent="0.25">
      <c r="A43">
        <v>7</v>
      </c>
      <c r="B43" t="s">
        <v>311</v>
      </c>
      <c r="C43">
        <v>26</v>
      </c>
      <c r="D43" t="s">
        <v>169</v>
      </c>
      <c r="E43">
        <v>4.4000000000000004</v>
      </c>
      <c r="F43">
        <v>4</v>
      </c>
      <c r="G43">
        <v>2</v>
      </c>
      <c r="H43">
        <v>0.66700000000000004</v>
      </c>
      <c r="I43">
        <v>0.61</v>
      </c>
      <c r="J43">
        <v>74</v>
      </c>
      <c r="K43">
        <v>0</v>
      </c>
      <c r="L43">
        <v>66</v>
      </c>
      <c r="M43">
        <v>0</v>
      </c>
      <c r="N43">
        <v>0</v>
      </c>
      <c r="O43">
        <v>47</v>
      </c>
      <c r="P43">
        <v>74.099999999999994</v>
      </c>
      <c r="Q43">
        <v>39</v>
      </c>
      <c r="R43">
        <v>10</v>
      </c>
      <c r="S43">
        <v>5</v>
      </c>
      <c r="T43">
        <v>2</v>
      </c>
      <c r="U43">
        <v>10</v>
      </c>
      <c r="V43">
        <v>1</v>
      </c>
      <c r="W43">
        <v>66</v>
      </c>
      <c r="X43">
        <v>2</v>
      </c>
      <c r="Y43">
        <v>0</v>
      </c>
      <c r="Z43">
        <v>2</v>
      </c>
      <c r="AA43">
        <v>270</v>
      </c>
      <c r="AB43">
        <v>674</v>
      </c>
      <c r="AC43">
        <v>2.2200000000000002</v>
      </c>
      <c r="AD43">
        <v>0.65900000000000003</v>
      </c>
      <c r="AE43">
        <v>4.7</v>
      </c>
      <c r="AF43">
        <v>0.2</v>
      </c>
      <c r="AG43">
        <v>1.2</v>
      </c>
      <c r="AH43">
        <v>8</v>
      </c>
      <c r="AI43">
        <v>6.6</v>
      </c>
      <c r="AJ43" t="s">
        <v>312</v>
      </c>
      <c r="AK43" t="s">
        <v>313</v>
      </c>
      <c r="AL43" t="s">
        <v>838</v>
      </c>
      <c r="AM43" t="s">
        <v>821</v>
      </c>
      <c r="AN43" s="1" t="str">
        <f>IFERROR(VLOOKUP(B43,'CLE Salary 2024'!A7:I39,7,FALSE), "No salary data")</f>
        <v>No salary data</v>
      </c>
      <c r="AO43" s="1" t="e">
        <f t="shared" si="0"/>
        <v>#VALUE!</v>
      </c>
    </row>
    <row r="44" spans="1:41" x14ac:dyDescent="0.25">
      <c r="A44" s="19">
        <v>8</v>
      </c>
      <c r="B44" s="19" t="s">
        <v>314</v>
      </c>
      <c r="C44" s="19">
        <v>25</v>
      </c>
      <c r="D44" s="19" t="s">
        <v>171</v>
      </c>
      <c r="E44" s="19">
        <v>2.4</v>
      </c>
      <c r="F44" s="19">
        <v>6</v>
      </c>
      <c r="G44" s="19">
        <v>1</v>
      </c>
      <c r="H44" s="19">
        <v>0.85699999999999998</v>
      </c>
      <c r="I44" s="19">
        <v>1.91</v>
      </c>
      <c r="J44" s="19">
        <v>74</v>
      </c>
      <c r="K44" s="19">
        <v>0</v>
      </c>
      <c r="L44" s="19">
        <v>2</v>
      </c>
      <c r="M44" s="19">
        <v>0</v>
      </c>
      <c r="N44" s="19">
        <v>0</v>
      </c>
      <c r="O44" s="19">
        <v>1</v>
      </c>
      <c r="P44" s="19">
        <v>75.099999999999994</v>
      </c>
      <c r="Q44" s="19">
        <v>51</v>
      </c>
      <c r="R44" s="19">
        <v>16</v>
      </c>
      <c r="S44" s="19">
        <v>16</v>
      </c>
      <c r="T44" s="19">
        <v>1</v>
      </c>
      <c r="U44" s="19">
        <v>17</v>
      </c>
      <c r="V44" s="19">
        <v>0</v>
      </c>
      <c r="W44" s="19">
        <v>103</v>
      </c>
      <c r="X44" s="19">
        <v>3</v>
      </c>
      <c r="Y44" s="19">
        <v>1</v>
      </c>
      <c r="Z44" s="19">
        <v>0</v>
      </c>
      <c r="AA44" s="19">
        <v>289</v>
      </c>
      <c r="AB44" s="19">
        <v>213</v>
      </c>
      <c r="AC44" s="19">
        <v>1.4</v>
      </c>
      <c r="AD44" s="19">
        <v>0.90300000000000002</v>
      </c>
      <c r="AE44" s="19">
        <v>6.1</v>
      </c>
      <c r="AF44" s="19">
        <v>0.1</v>
      </c>
      <c r="AG44" s="19">
        <v>2</v>
      </c>
      <c r="AH44" s="19">
        <v>12.3</v>
      </c>
      <c r="AI44" s="19">
        <v>6.06</v>
      </c>
      <c r="AJ44" s="19" t="s">
        <v>315</v>
      </c>
      <c r="AK44" s="19" t="s">
        <v>316</v>
      </c>
      <c r="AL44" s="19" t="s">
        <v>838</v>
      </c>
      <c r="AM44" s="19" t="s">
        <v>821</v>
      </c>
      <c r="AN44" s="108">
        <f>IFERROR(VLOOKUP(B44,'CLE Salary 2024'!A8:I40,7,FALSE), "No salary data")</f>
        <v>1297688</v>
      </c>
      <c r="AO44" s="1">
        <f t="shared" si="0"/>
        <v>540703.33333333337</v>
      </c>
    </row>
    <row r="45" spans="1:41" x14ac:dyDescent="0.25">
      <c r="A45">
        <v>9</v>
      </c>
      <c r="B45" t="s">
        <v>295</v>
      </c>
      <c r="C45">
        <v>26</v>
      </c>
      <c r="D45" t="s">
        <v>171</v>
      </c>
      <c r="E45">
        <v>2.6</v>
      </c>
      <c r="F45">
        <v>6</v>
      </c>
      <c r="G45">
        <v>3</v>
      </c>
      <c r="H45">
        <v>0.66700000000000004</v>
      </c>
      <c r="I45">
        <v>1.57</v>
      </c>
      <c r="J45">
        <v>78</v>
      </c>
      <c r="K45">
        <v>0</v>
      </c>
      <c r="L45">
        <v>8</v>
      </c>
      <c r="M45">
        <v>0</v>
      </c>
      <c r="N45">
        <v>0</v>
      </c>
      <c r="O45">
        <v>0</v>
      </c>
      <c r="P45">
        <v>74.2</v>
      </c>
      <c r="Q45">
        <v>43</v>
      </c>
      <c r="R45">
        <v>16</v>
      </c>
      <c r="S45">
        <v>13</v>
      </c>
      <c r="T45">
        <v>4</v>
      </c>
      <c r="U45">
        <v>14</v>
      </c>
      <c r="V45">
        <v>1</v>
      </c>
      <c r="W45">
        <v>66</v>
      </c>
      <c r="X45">
        <v>4</v>
      </c>
      <c r="Y45">
        <v>0</v>
      </c>
      <c r="Z45">
        <v>2</v>
      </c>
      <c r="AA45">
        <v>278</v>
      </c>
      <c r="AB45">
        <v>260</v>
      </c>
      <c r="AC45">
        <v>2.82</v>
      </c>
      <c r="AD45">
        <v>0.76300000000000001</v>
      </c>
      <c r="AE45">
        <v>5.2</v>
      </c>
      <c r="AF45">
        <v>0.5</v>
      </c>
      <c r="AG45">
        <v>1.7</v>
      </c>
      <c r="AH45">
        <v>8</v>
      </c>
      <c r="AI45">
        <v>4.71</v>
      </c>
      <c r="AJ45" t="s">
        <v>37</v>
      </c>
      <c r="AK45" t="s">
        <v>296</v>
      </c>
      <c r="AL45" t="s">
        <v>838</v>
      </c>
      <c r="AM45" t="s">
        <v>821</v>
      </c>
      <c r="AN45" s="1">
        <f>IFERROR(VLOOKUP(B45,'CLE Salary 2024'!A9:I41,7,FALSE), "No salary data")</f>
        <v>1032035</v>
      </c>
      <c r="AO45" s="1">
        <f t="shared" si="0"/>
        <v>396936.53846153844</v>
      </c>
    </row>
    <row r="46" spans="1:41" x14ac:dyDescent="0.25">
      <c r="A46" s="19">
        <v>10</v>
      </c>
      <c r="B46" s="19" t="s">
        <v>317</v>
      </c>
      <c r="C46" s="19">
        <v>27</v>
      </c>
      <c r="D46" s="19" t="s">
        <v>171</v>
      </c>
      <c r="E46" s="19">
        <v>1.7</v>
      </c>
      <c r="F46" s="19">
        <v>5</v>
      </c>
      <c r="G46" s="19">
        <v>1</v>
      </c>
      <c r="H46" s="19">
        <v>0.83299999999999996</v>
      </c>
      <c r="I46" s="19">
        <v>1.92</v>
      </c>
      <c r="J46" s="19">
        <v>75</v>
      </c>
      <c r="K46" s="19">
        <v>0</v>
      </c>
      <c r="L46" s="19">
        <v>6</v>
      </c>
      <c r="M46" s="19">
        <v>0</v>
      </c>
      <c r="N46" s="19">
        <v>0</v>
      </c>
      <c r="O46" s="19">
        <v>0</v>
      </c>
      <c r="P46" s="19">
        <v>65.2</v>
      </c>
      <c r="Q46" s="19">
        <v>39</v>
      </c>
      <c r="R46" s="19">
        <v>17</v>
      </c>
      <c r="S46" s="19">
        <v>14</v>
      </c>
      <c r="T46" s="19">
        <v>2</v>
      </c>
      <c r="U46" s="19">
        <v>25</v>
      </c>
      <c r="V46" s="19">
        <v>1</v>
      </c>
      <c r="W46" s="19">
        <v>68</v>
      </c>
      <c r="X46" s="19">
        <v>5</v>
      </c>
      <c r="Y46" s="19">
        <v>1</v>
      </c>
      <c r="Z46" s="19">
        <v>3</v>
      </c>
      <c r="AA46" s="19">
        <v>257</v>
      </c>
      <c r="AB46" s="19">
        <v>213</v>
      </c>
      <c r="AC46" s="19">
        <v>2.86</v>
      </c>
      <c r="AD46" s="19">
        <v>0.97499999999999998</v>
      </c>
      <c r="AE46" s="19">
        <v>5.3</v>
      </c>
      <c r="AF46" s="19">
        <v>0.3</v>
      </c>
      <c r="AG46" s="19">
        <v>3.4</v>
      </c>
      <c r="AH46" s="19">
        <v>9.3000000000000007</v>
      </c>
      <c r="AI46" s="19">
        <v>2.72</v>
      </c>
      <c r="AJ46" s="19" t="s">
        <v>37</v>
      </c>
      <c r="AK46" s="19" t="s">
        <v>318</v>
      </c>
      <c r="AL46" s="19" t="s">
        <v>838</v>
      </c>
      <c r="AM46" s="19" t="s">
        <v>821</v>
      </c>
      <c r="AN46" s="108">
        <f>IFERROR(VLOOKUP(B46,'CLE Salary 2024'!A10:I42,7,FALSE), "No salary data")</f>
        <v>740800</v>
      </c>
      <c r="AO46" s="1">
        <f t="shared" si="0"/>
        <v>435764.70588235295</v>
      </c>
    </row>
    <row r="47" spans="1:41" hidden="1" x14ac:dyDescent="0.25">
      <c r="A47">
        <v>11</v>
      </c>
      <c r="B47" t="s">
        <v>319</v>
      </c>
      <c r="C47">
        <v>27</v>
      </c>
      <c r="D47" t="s">
        <v>171</v>
      </c>
      <c r="E47">
        <v>-0.1</v>
      </c>
      <c r="F47">
        <v>8</v>
      </c>
      <c r="G47">
        <v>0</v>
      </c>
      <c r="H47">
        <v>1</v>
      </c>
      <c r="I47">
        <v>3.75</v>
      </c>
      <c r="J47">
        <v>68</v>
      </c>
      <c r="K47">
        <v>1</v>
      </c>
      <c r="L47">
        <v>7</v>
      </c>
      <c r="M47">
        <v>0</v>
      </c>
      <c r="N47">
        <v>0</v>
      </c>
      <c r="O47">
        <v>1</v>
      </c>
      <c r="P47">
        <v>57.2</v>
      </c>
      <c r="Q47">
        <v>46</v>
      </c>
      <c r="R47">
        <v>29</v>
      </c>
      <c r="S47">
        <v>24</v>
      </c>
      <c r="T47">
        <v>12</v>
      </c>
      <c r="U47">
        <v>27</v>
      </c>
      <c r="V47">
        <v>2</v>
      </c>
      <c r="W47">
        <v>68</v>
      </c>
      <c r="X47">
        <v>6</v>
      </c>
      <c r="Y47">
        <v>0</v>
      </c>
      <c r="Z47">
        <v>1</v>
      </c>
      <c r="AA47">
        <v>246</v>
      </c>
      <c r="AB47">
        <v>109</v>
      </c>
      <c r="AC47">
        <v>5.23</v>
      </c>
      <c r="AD47">
        <v>1.266</v>
      </c>
      <c r="AE47">
        <v>7.2</v>
      </c>
      <c r="AF47">
        <v>1.9</v>
      </c>
      <c r="AG47">
        <v>4.2</v>
      </c>
      <c r="AH47">
        <v>10.6</v>
      </c>
      <c r="AI47">
        <v>2.52</v>
      </c>
      <c r="AJ47" t="s">
        <v>37</v>
      </c>
      <c r="AK47" t="s">
        <v>320</v>
      </c>
      <c r="AL47" t="s">
        <v>838</v>
      </c>
      <c r="AM47" t="s">
        <v>821</v>
      </c>
      <c r="AN47" s="1" t="str">
        <f>IFERROR(VLOOKUP(B47,'CLE Salary 2024'!A11:I43,7,FALSE), "No salary data")</f>
        <v>No salary data</v>
      </c>
      <c r="AO47" s="1" t="e">
        <f t="shared" si="0"/>
        <v>#VALUE!</v>
      </c>
    </row>
    <row r="48" spans="1:41" x14ac:dyDescent="0.25">
      <c r="A48" s="19">
        <v>12</v>
      </c>
      <c r="B48" s="19" t="s">
        <v>297</v>
      </c>
      <c r="C48" s="19">
        <v>27</v>
      </c>
      <c r="D48" s="19" t="s">
        <v>37</v>
      </c>
      <c r="E48" s="19">
        <v>0.6</v>
      </c>
      <c r="F48" s="19">
        <v>5</v>
      </c>
      <c r="G48" s="19">
        <v>1</v>
      </c>
      <c r="H48" s="19">
        <v>0.83299999999999996</v>
      </c>
      <c r="I48" s="19">
        <v>3.25</v>
      </c>
      <c r="J48" s="19">
        <v>50</v>
      </c>
      <c r="K48" s="19">
        <v>0</v>
      </c>
      <c r="L48" s="19">
        <v>15</v>
      </c>
      <c r="M48" s="19">
        <v>0</v>
      </c>
      <c r="N48" s="19">
        <v>0</v>
      </c>
      <c r="O48" s="19">
        <v>1</v>
      </c>
      <c r="P48" s="19">
        <v>74.2</v>
      </c>
      <c r="Q48" s="19">
        <v>68</v>
      </c>
      <c r="R48" s="19">
        <v>30</v>
      </c>
      <c r="S48" s="19">
        <v>27</v>
      </c>
      <c r="T48" s="19">
        <v>7</v>
      </c>
      <c r="U48" s="19">
        <v>30</v>
      </c>
      <c r="V48" s="19">
        <v>1</v>
      </c>
      <c r="W48" s="19">
        <v>73</v>
      </c>
      <c r="X48" s="19">
        <v>3</v>
      </c>
      <c r="Y48" s="19">
        <v>0</v>
      </c>
      <c r="Z48" s="19">
        <v>4</v>
      </c>
      <c r="AA48" s="19">
        <v>318</v>
      </c>
      <c r="AB48" s="19">
        <v>125</v>
      </c>
      <c r="AC48" s="19">
        <v>3.76</v>
      </c>
      <c r="AD48" s="19">
        <v>1.3129999999999999</v>
      </c>
      <c r="AE48" s="19">
        <v>8.1999999999999993</v>
      </c>
      <c r="AF48" s="19">
        <v>0.8</v>
      </c>
      <c r="AG48" s="19">
        <v>3.6</v>
      </c>
      <c r="AH48" s="19">
        <v>8.8000000000000007</v>
      </c>
      <c r="AI48" s="19">
        <v>2.4300000000000002</v>
      </c>
      <c r="AJ48" s="19" t="s">
        <v>37</v>
      </c>
      <c r="AK48" s="19" t="s">
        <v>298</v>
      </c>
      <c r="AL48" s="19" t="s">
        <v>838</v>
      </c>
      <c r="AM48" s="19" t="s">
        <v>821</v>
      </c>
      <c r="AN48" s="108">
        <f>IFERROR(VLOOKUP(B48,'CLE Salary 2024'!A12:I44,7,FALSE), "No salary data")</f>
        <v>658296</v>
      </c>
      <c r="AO48" s="1">
        <f t="shared" si="0"/>
        <v>1097160</v>
      </c>
    </row>
    <row r="49" spans="1:41" hidden="1" x14ac:dyDescent="0.25">
      <c r="A49">
        <v>13</v>
      </c>
      <c r="B49" t="s">
        <v>321</v>
      </c>
      <c r="C49">
        <v>31</v>
      </c>
      <c r="D49" t="s">
        <v>37</v>
      </c>
      <c r="E49">
        <v>0.2</v>
      </c>
      <c r="F49">
        <v>3</v>
      </c>
      <c r="G49">
        <v>3</v>
      </c>
      <c r="H49">
        <v>0.5</v>
      </c>
      <c r="I49">
        <v>4.25</v>
      </c>
      <c r="J49">
        <v>63</v>
      </c>
      <c r="K49">
        <v>0</v>
      </c>
      <c r="L49">
        <v>15</v>
      </c>
      <c r="M49">
        <v>0</v>
      </c>
      <c r="N49">
        <v>0</v>
      </c>
      <c r="O49">
        <v>2</v>
      </c>
      <c r="P49">
        <v>55</v>
      </c>
      <c r="Q49">
        <v>44</v>
      </c>
      <c r="R49">
        <v>27</v>
      </c>
      <c r="S49">
        <v>26</v>
      </c>
      <c r="T49">
        <v>6</v>
      </c>
      <c r="U49">
        <v>31</v>
      </c>
      <c r="V49">
        <v>1</v>
      </c>
      <c r="W49">
        <v>68</v>
      </c>
      <c r="X49">
        <v>4</v>
      </c>
      <c r="Y49">
        <v>0</v>
      </c>
      <c r="Z49">
        <v>2</v>
      </c>
      <c r="AA49">
        <v>241</v>
      </c>
      <c r="AB49">
        <v>96</v>
      </c>
      <c r="AC49">
        <v>4.0199999999999996</v>
      </c>
      <c r="AD49">
        <v>1.3640000000000001</v>
      </c>
      <c r="AE49">
        <v>7.2</v>
      </c>
      <c r="AF49">
        <v>1</v>
      </c>
      <c r="AG49">
        <v>5.0999999999999996</v>
      </c>
      <c r="AH49">
        <v>11.1</v>
      </c>
      <c r="AI49">
        <v>2.19</v>
      </c>
      <c r="AJ49" t="s">
        <v>37</v>
      </c>
      <c r="AK49" t="s">
        <v>322</v>
      </c>
      <c r="AL49" t="s">
        <v>838</v>
      </c>
      <c r="AM49" t="s">
        <v>821</v>
      </c>
      <c r="AN49" s="1" t="str">
        <f>IFERROR(VLOOKUP(B49,'CLE Salary 2024'!A13:I45,7,FALSE), "No salary data")</f>
        <v>No salary data</v>
      </c>
      <c r="AO49" s="1" t="e">
        <f t="shared" si="0"/>
        <v>#VALUE!</v>
      </c>
    </row>
    <row r="50" spans="1:41" x14ac:dyDescent="0.25">
      <c r="A50" s="19">
        <v>14</v>
      </c>
      <c r="B50" s="19" t="s">
        <v>323</v>
      </c>
      <c r="C50" s="19">
        <v>28</v>
      </c>
      <c r="D50" s="19" t="s">
        <v>37</v>
      </c>
      <c r="E50" s="19">
        <v>1.1000000000000001</v>
      </c>
      <c r="F50" s="19">
        <v>3</v>
      </c>
      <c r="G50" s="19">
        <v>0</v>
      </c>
      <c r="H50" s="19">
        <v>1</v>
      </c>
      <c r="I50" s="19">
        <v>1.93</v>
      </c>
      <c r="J50" s="19">
        <v>32</v>
      </c>
      <c r="K50" s="19">
        <v>0</v>
      </c>
      <c r="L50" s="19">
        <v>9</v>
      </c>
      <c r="M50" s="19">
        <v>0</v>
      </c>
      <c r="N50" s="19">
        <v>0</v>
      </c>
      <c r="O50" s="19">
        <v>0</v>
      </c>
      <c r="P50" s="19">
        <v>42</v>
      </c>
      <c r="Q50" s="19">
        <v>30</v>
      </c>
      <c r="R50" s="19">
        <v>11</v>
      </c>
      <c r="S50" s="19">
        <v>9</v>
      </c>
      <c r="T50" s="19">
        <v>4</v>
      </c>
      <c r="U50" s="19">
        <v>11</v>
      </c>
      <c r="V50" s="19">
        <v>1</v>
      </c>
      <c r="W50" s="19">
        <v>34</v>
      </c>
      <c r="X50" s="19">
        <v>1</v>
      </c>
      <c r="Y50" s="19">
        <v>0</v>
      </c>
      <c r="Z50" s="19">
        <v>0</v>
      </c>
      <c r="AA50" s="19">
        <v>167</v>
      </c>
      <c r="AB50" s="19">
        <v>212</v>
      </c>
      <c r="AC50" s="19">
        <v>3.64</v>
      </c>
      <c r="AD50" s="19">
        <v>0.97599999999999998</v>
      </c>
      <c r="AE50" s="19">
        <v>6.4</v>
      </c>
      <c r="AF50" s="19">
        <v>0.9</v>
      </c>
      <c r="AG50" s="19">
        <v>2.4</v>
      </c>
      <c r="AH50" s="19">
        <v>7.3</v>
      </c>
      <c r="AI50" s="19">
        <v>3.09</v>
      </c>
      <c r="AJ50" s="19" t="s">
        <v>37</v>
      </c>
      <c r="AK50" s="19" t="s">
        <v>324</v>
      </c>
      <c r="AL50" s="19" t="s">
        <v>838</v>
      </c>
      <c r="AM50" s="19" t="s">
        <v>821</v>
      </c>
      <c r="AN50" s="108">
        <f>IFERROR(VLOOKUP(B50,'CLE Salary 2024'!A14:I46,7,FALSE), "No salary data")</f>
        <v>626045</v>
      </c>
      <c r="AO50" s="1">
        <f t="shared" si="0"/>
        <v>569131.81818181812</v>
      </c>
    </row>
    <row r="51" spans="1:41" hidden="1" x14ac:dyDescent="0.25">
      <c r="A51">
        <v>15</v>
      </c>
      <c r="B51" t="s">
        <v>325</v>
      </c>
      <c r="C51">
        <v>33</v>
      </c>
      <c r="D51" t="s">
        <v>37</v>
      </c>
      <c r="E51">
        <v>0.7</v>
      </c>
      <c r="F51">
        <v>2</v>
      </c>
      <c r="G51">
        <v>2</v>
      </c>
      <c r="H51">
        <v>0.5</v>
      </c>
      <c r="I51">
        <v>2.72</v>
      </c>
      <c r="J51">
        <v>8</v>
      </c>
      <c r="K51">
        <v>8</v>
      </c>
      <c r="L51">
        <v>0</v>
      </c>
      <c r="M51">
        <v>0</v>
      </c>
      <c r="N51">
        <v>0</v>
      </c>
      <c r="O51">
        <v>0</v>
      </c>
      <c r="P51">
        <v>39.200000000000003</v>
      </c>
      <c r="Q51">
        <v>32</v>
      </c>
      <c r="R51">
        <v>16</v>
      </c>
      <c r="S51">
        <v>12</v>
      </c>
      <c r="T51">
        <v>4</v>
      </c>
      <c r="U51">
        <v>13</v>
      </c>
      <c r="V51">
        <v>0</v>
      </c>
      <c r="W51">
        <v>46</v>
      </c>
      <c r="X51">
        <v>2</v>
      </c>
      <c r="Y51">
        <v>1</v>
      </c>
      <c r="Z51">
        <v>0</v>
      </c>
      <c r="AA51">
        <v>166</v>
      </c>
      <c r="AB51">
        <v>151</v>
      </c>
      <c r="AC51">
        <v>3.29</v>
      </c>
      <c r="AD51">
        <v>1.1339999999999999</v>
      </c>
      <c r="AE51">
        <v>7.3</v>
      </c>
      <c r="AF51">
        <v>0.9</v>
      </c>
      <c r="AG51">
        <v>2.9</v>
      </c>
      <c r="AH51">
        <v>10.4</v>
      </c>
      <c r="AI51">
        <v>3.54</v>
      </c>
      <c r="AJ51" t="s">
        <v>37</v>
      </c>
      <c r="AK51" t="s">
        <v>326</v>
      </c>
      <c r="AL51" t="s">
        <v>838</v>
      </c>
      <c r="AM51" t="s">
        <v>821</v>
      </c>
      <c r="AN51" s="1" t="str">
        <f>IFERROR(VLOOKUP(B51,'CLE Salary 2024'!A15:I47,7,FALSE), "No salary data")</f>
        <v>No salary data</v>
      </c>
      <c r="AO51" s="1" t="e">
        <f t="shared" si="0"/>
        <v>#VALUE!</v>
      </c>
    </row>
    <row r="52" spans="1:41" x14ac:dyDescent="0.25">
      <c r="A52" s="19">
        <v>16</v>
      </c>
      <c r="B52" s="19" t="s">
        <v>327</v>
      </c>
      <c r="C52" s="19">
        <v>24</v>
      </c>
      <c r="D52" s="19" t="s">
        <v>37</v>
      </c>
      <c r="E52" s="19">
        <v>-0.1</v>
      </c>
      <c r="F52" s="19">
        <v>2</v>
      </c>
      <c r="G52" s="19">
        <v>4</v>
      </c>
      <c r="H52" s="19">
        <v>0.33300000000000002</v>
      </c>
      <c r="I52" s="19">
        <v>4.8899999999999997</v>
      </c>
      <c r="J52" s="19">
        <v>9</v>
      </c>
      <c r="K52" s="19">
        <v>8</v>
      </c>
      <c r="L52" s="19">
        <v>1</v>
      </c>
      <c r="M52" s="19">
        <v>0</v>
      </c>
      <c r="N52" s="19">
        <v>0</v>
      </c>
      <c r="O52" s="19">
        <v>0</v>
      </c>
      <c r="P52" s="19">
        <v>38.200000000000003</v>
      </c>
      <c r="Q52" s="19">
        <v>35</v>
      </c>
      <c r="R52" s="19">
        <v>22</v>
      </c>
      <c r="S52" s="19">
        <v>21</v>
      </c>
      <c r="T52" s="19">
        <v>6</v>
      </c>
      <c r="U52" s="19">
        <v>15</v>
      </c>
      <c r="V52" s="19">
        <v>0</v>
      </c>
      <c r="W52" s="19">
        <v>44</v>
      </c>
      <c r="X52" s="19">
        <v>0</v>
      </c>
      <c r="Y52" s="19">
        <v>0</v>
      </c>
      <c r="Z52" s="19">
        <v>4</v>
      </c>
      <c r="AA52" s="19">
        <v>163</v>
      </c>
      <c r="AB52" s="19">
        <v>84</v>
      </c>
      <c r="AC52" s="19">
        <v>4.07</v>
      </c>
      <c r="AD52" s="19">
        <v>1.2929999999999999</v>
      </c>
      <c r="AE52" s="19">
        <v>8.1</v>
      </c>
      <c r="AF52" s="19">
        <v>1.4</v>
      </c>
      <c r="AG52" s="19">
        <v>3.5</v>
      </c>
      <c r="AH52" s="19">
        <v>10.199999999999999</v>
      </c>
      <c r="AI52" s="19">
        <v>2.93</v>
      </c>
      <c r="AJ52" s="19" t="s">
        <v>37</v>
      </c>
      <c r="AK52" s="19" t="s">
        <v>328</v>
      </c>
      <c r="AL52" s="19" t="s">
        <v>838</v>
      </c>
      <c r="AM52" s="19" t="s">
        <v>821</v>
      </c>
      <c r="AN52" s="108">
        <f>IFERROR(VLOOKUP(B52,'CLE Salary 2024'!A16:I48,7,FALSE), "No salary data")</f>
        <v>119340</v>
      </c>
      <c r="AO52" s="1">
        <f t="shared" si="0"/>
        <v>-1193400</v>
      </c>
    </row>
    <row r="53" spans="1:41" x14ac:dyDescent="0.25">
      <c r="A53">
        <v>17</v>
      </c>
      <c r="B53" t="s">
        <v>329</v>
      </c>
      <c r="C53">
        <v>25</v>
      </c>
      <c r="D53" t="s">
        <v>37</v>
      </c>
      <c r="E53">
        <v>-0.3</v>
      </c>
      <c r="F53">
        <v>0</v>
      </c>
      <c r="G53">
        <v>2</v>
      </c>
      <c r="H53">
        <v>0</v>
      </c>
      <c r="I53">
        <v>5.84</v>
      </c>
      <c r="J53">
        <v>7</v>
      </c>
      <c r="K53">
        <v>4</v>
      </c>
      <c r="L53">
        <v>3</v>
      </c>
      <c r="M53">
        <v>0</v>
      </c>
      <c r="N53">
        <v>0</v>
      </c>
      <c r="O53">
        <v>0</v>
      </c>
      <c r="P53">
        <v>24.2</v>
      </c>
      <c r="Q53">
        <v>29</v>
      </c>
      <c r="R53">
        <v>17</v>
      </c>
      <c r="S53">
        <v>16</v>
      </c>
      <c r="T53">
        <v>5</v>
      </c>
      <c r="U53">
        <v>5</v>
      </c>
      <c r="V53">
        <v>1</v>
      </c>
      <c r="W53">
        <v>15</v>
      </c>
      <c r="X53">
        <v>0</v>
      </c>
      <c r="Y53">
        <v>0</v>
      </c>
      <c r="Z53">
        <v>1</v>
      </c>
      <c r="AA53">
        <v>108</v>
      </c>
      <c r="AB53">
        <v>71</v>
      </c>
      <c r="AC53">
        <v>5.19</v>
      </c>
      <c r="AD53">
        <v>1.3779999999999999</v>
      </c>
      <c r="AE53">
        <v>10.6</v>
      </c>
      <c r="AF53">
        <v>1.8</v>
      </c>
      <c r="AG53">
        <v>1.8</v>
      </c>
      <c r="AH53">
        <v>5.5</v>
      </c>
      <c r="AI53">
        <v>3</v>
      </c>
      <c r="AJ53" t="s">
        <v>37</v>
      </c>
      <c r="AK53" t="s">
        <v>330</v>
      </c>
      <c r="AL53" t="s">
        <v>838</v>
      </c>
      <c r="AM53" t="s">
        <v>821</v>
      </c>
      <c r="AN53" s="1">
        <f>IFERROR(VLOOKUP(B53,'CLE Salary 2024'!A17:I49,7,FALSE), "No salary data")</f>
        <v>240893</v>
      </c>
      <c r="AO53" s="1">
        <f t="shared" si="0"/>
        <v>-802976.66666666674</v>
      </c>
    </row>
    <row r="54" spans="1:41" hidden="1" x14ac:dyDescent="0.25">
      <c r="A54" s="19">
        <v>18</v>
      </c>
      <c r="B54" s="19" t="s">
        <v>331</v>
      </c>
      <c r="C54" s="19">
        <v>27</v>
      </c>
      <c r="D54" s="19" t="s">
        <v>37</v>
      </c>
      <c r="E54" s="19">
        <v>0.4</v>
      </c>
      <c r="F54" s="19">
        <v>0</v>
      </c>
      <c r="G54" s="19">
        <v>0</v>
      </c>
      <c r="H54" s="19"/>
      <c r="I54" s="19">
        <v>3.04</v>
      </c>
      <c r="J54" s="19">
        <v>25</v>
      </c>
      <c r="K54" s="19">
        <v>0</v>
      </c>
      <c r="L54" s="19">
        <v>4</v>
      </c>
      <c r="M54" s="19">
        <v>0</v>
      </c>
      <c r="N54" s="19">
        <v>0</v>
      </c>
      <c r="O54" s="19">
        <v>0</v>
      </c>
      <c r="P54" s="19">
        <v>23.2</v>
      </c>
      <c r="Q54" s="19">
        <v>18</v>
      </c>
      <c r="R54" s="19">
        <v>8</v>
      </c>
      <c r="S54" s="19">
        <v>8</v>
      </c>
      <c r="T54" s="19">
        <v>3</v>
      </c>
      <c r="U54" s="19">
        <v>5</v>
      </c>
      <c r="V54" s="19">
        <v>0</v>
      </c>
      <c r="W54" s="19">
        <v>27</v>
      </c>
      <c r="X54" s="19">
        <v>0</v>
      </c>
      <c r="Y54" s="19">
        <v>0</v>
      </c>
      <c r="Z54" s="19">
        <v>0</v>
      </c>
      <c r="AA54" s="19">
        <v>91</v>
      </c>
      <c r="AB54" s="19">
        <v>136</v>
      </c>
      <c r="AC54" s="19">
        <v>3.17</v>
      </c>
      <c r="AD54" s="19">
        <v>0.97199999999999998</v>
      </c>
      <c r="AE54" s="19">
        <v>6.8</v>
      </c>
      <c r="AF54" s="19">
        <v>1.1000000000000001</v>
      </c>
      <c r="AG54" s="19">
        <v>1.9</v>
      </c>
      <c r="AH54" s="19">
        <v>10.3</v>
      </c>
      <c r="AI54" s="19">
        <v>5.4</v>
      </c>
      <c r="AJ54" s="19" t="s">
        <v>37</v>
      </c>
      <c r="AK54" s="19" t="s">
        <v>332</v>
      </c>
      <c r="AL54" s="19" t="s">
        <v>838</v>
      </c>
      <c r="AM54" s="19" t="s">
        <v>821</v>
      </c>
      <c r="AN54" s="108" t="str">
        <f>IFERROR(VLOOKUP(B54,'CLE Salary 2024'!A18:I50,7,FALSE), "No salary data")</f>
        <v>No salary data</v>
      </c>
      <c r="AO54" s="1" t="e">
        <f t="shared" si="0"/>
        <v>#VALUE!</v>
      </c>
    </row>
    <row r="55" spans="1:41" hidden="1" x14ac:dyDescent="0.25">
      <c r="A55">
        <v>19</v>
      </c>
      <c r="B55" t="s">
        <v>333</v>
      </c>
      <c r="C55">
        <v>36</v>
      </c>
      <c r="D55" t="s">
        <v>37</v>
      </c>
      <c r="E55">
        <v>0.3</v>
      </c>
      <c r="F55">
        <v>2</v>
      </c>
      <c r="G55">
        <v>1</v>
      </c>
      <c r="H55">
        <v>0.66700000000000004</v>
      </c>
      <c r="I55">
        <v>2.76</v>
      </c>
      <c r="J55">
        <v>3</v>
      </c>
      <c r="K55">
        <v>3</v>
      </c>
      <c r="L55">
        <v>0</v>
      </c>
      <c r="M55">
        <v>0</v>
      </c>
      <c r="N55">
        <v>0</v>
      </c>
      <c r="O55">
        <v>0</v>
      </c>
      <c r="P55">
        <v>16.100000000000001</v>
      </c>
      <c r="Q55">
        <v>14</v>
      </c>
      <c r="R55">
        <v>7</v>
      </c>
      <c r="S55">
        <v>5</v>
      </c>
      <c r="T55">
        <v>1</v>
      </c>
      <c r="U55">
        <v>3</v>
      </c>
      <c r="V55">
        <v>0</v>
      </c>
      <c r="W55">
        <v>10</v>
      </c>
      <c r="X55">
        <v>0</v>
      </c>
      <c r="Y55">
        <v>0</v>
      </c>
      <c r="Z55">
        <v>0</v>
      </c>
      <c r="AA55">
        <v>62</v>
      </c>
      <c r="AB55">
        <v>151</v>
      </c>
      <c r="AC55">
        <v>3.29</v>
      </c>
      <c r="AD55">
        <v>1.0409999999999999</v>
      </c>
      <c r="AE55">
        <v>7.7</v>
      </c>
      <c r="AF55">
        <v>0.6</v>
      </c>
      <c r="AG55">
        <v>1.7</v>
      </c>
      <c r="AH55">
        <v>5.5</v>
      </c>
      <c r="AI55">
        <v>3.33</v>
      </c>
      <c r="AJ55" t="s">
        <v>37</v>
      </c>
      <c r="AK55" t="s">
        <v>334</v>
      </c>
      <c r="AL55" t="s">
        <v>838</v>
      </c>
      <c r="AM55" t="s">
        <v>821</v>
      </c>
      <c r="AN55" s="1" t="str">
        <f>IFERROR(VLOOKUP(B55,'CLE Salary 2024'!A19:I51,7,FALSE), "No salary data")</f>
        <v>No salary data</v>
      </c>
      <c r="AO55" s="1" t="e">
        <f t="shared" si="0"/>
        <v>#VALUE!</v>
      </c>
    </row>
    <row r="56" spans="1:41" hidden="1" x14ac:dyDescent="0.25">
      <c r="A56" s="19">
        <v>20</v>
      </c>
      <c r="B56" s="19" t="s">
        <v>335</v>
      </c>
      <c r="C56" s="19">
        <v>31</v>
      </c>
      <c r="D56" s="19" t="s">
        <v>37</v>
      </c>
      <c r="E56" s="19">
        <v>-0.7</v>
      </c>
      <c r="F56" s="19">
        <v>1</v>
      </c>
      <c r="G56" s="19">
        <v>0</v>
      </c>
      <c r="H56" s="19">
        <v>1</v>
      </c>
      <c r="I56" s="19">
        <v>8.36</v>
      </c>
      <c r="J56" s="19">
        <v>13</v>
      </c>
      <c r="K56" s="19">
        <v>0</v>
      </c>
      <c r="L56" s="19">
        <v>3</v>
      </c>
      <c r="M56" s="19">
        <v>0</v>
      </c>
      <c r="N56" s="19">
        <v>0</v>
      </c>
      <c r="O56" s="19">
        <v>0</v>
      </c>
      <c r="P56" s="19">
        <v>14</v>
      </c>
      <c r="Q56" s="19">
        <v>16</v>
      </c>
      <c r="R56" s="19">
        <v>14</v>
      </c>
      <c r="S56" s="19">
        <v>13</v>
      </c>
      <c r="T56" s="19">
        <v>2</v>
      </c>
      <c r="U56" s="19">
        <v>9</v>
      </c>
      <c r="V56" s="19">
        <v>1</v>
      </c>
      <c r="W56" s="19">
        <v>18</v>
      </c>
      <c r="X56" s="19">
        <v>3</v>
      </c>
      <c r="Y56" s="19">
        <v>1</v>
      </c>
      <c r="Z56" s="19">
        <v>0</v>
      </c>
      <c r="AA56" s="19">
        <v>68</v>
      </c>
      <c r="AB56" s="19">
        <v>50</v>
      </c>
      <c r="AC56" s="19">
        <v>5.0199999999999996</v>
      </c>
      <c r="AD56" s="19">
        <v>1.786</v>
      </c>
      <c r="AE56" s="19">
        <v>10.3</v>
      </c>
      <c r="AF56" s="19">
        <v>1.3</v>
      </c>
      <c r="AG56" s="19">
        <v>5.8</v>
      </c>
      <c r="AH56" s="19">
        <v>11.6</v>
      </c>
      <c r="AI56" s="19">
        <v>2</v>
      </c>
      <c r="AJ56" s="19" t="s">
        <v>37</v>
      </c>
      <c r="AK56" s="19" t="s">
        <v>336</v>
      </c>
      <c r="AL56" s="19" t="s">
        <v>838</v>
      </c>
      <c r="AM56" s="19" t="s">
        <v>821</v>
      </c>
      <c r="AN56" s="108" t="str">
        <f>IFERROR(VLOOKUP(B56,'CLE Salary 2024'!A20:I52,7,FALSE), "No salary data")</f>
        <v>No salary data</v>
      </c>
      <c r="AO56" s="1" t="e">
        <f t="shared" si="0"/>
        <v>#VALUE!</v>
      </c>
    </row>
    <row r="57" spans="1:41" x14ac:dyDescent="0.25">
      <c r="A57">
        <v>21</v>
      </c>
      <c r="B57" t="s">
        <v>337</v>
      </c>
      <c r="C57">
        <v>26</v>
      </c>
      <c r="D57" t="s">
        <v>37</v>
      </c>
      <c r="E57">
        <v>0.6</v>
      </c>
      <c r="F57">
        <v>0</v>
      </c>
      <c r="G57">
        <v>0</v>
      </c>
      <c r="I57">
        <v>0</v>
      </c>
      <c r="J57">
        <v>8</v>
      </c>
      <c r="K57">
        <v>0</v>
      </c>
      <c r="L57">
        <v>4</v>
      </c>
      <c r="M57">
        <v>0</v>
      </c>
      <c r="N57">
        <v>0</v>
      </c>
      <c r="O57">
        <v>1</v>
      </c>
      <c r="P57">
        <v>12.2</v>
      </c>
      <c r="Q57">
        <v>6</v>
      </c>
      <c r="R57">
        <v>0</v>
      </c>
      <c r="S57">
        <v>0</v>
      </c>
      <c r="T57">
        <v>0</v>
      </c>
      <c r="U57">
        <v>4</v>
      </c>
      <c r="V57">
        <v>0</v>
      </c>
      <c r="W57">
        <v>19</v>
      </c>
      <c r="X57">
        <v>0</v>
      </c>
      <c r="Y57">
        <v>0</v>
      </c>
      <c r="Z57">
        <v>1</v>
      </c>
      <c r="AA57">
        <v>47</v>
      </c>
      <c r="AC57">
        <v>1.1100000000000001</v>
      </c>
      <c r="AD57">
        <v>0.78900000000000003</v>
      </c>
      <c r="AE57">
        <v>4.3</v>
      </c>
      <c r="AF57">
        <v>0</v>
      </c>
      <c r="AG57">
        <v>2.8</v>
      </c>
      <c r="AH57">
        <v>13.5</v>
      </c>
      <c r="AI57">
        <v>4.75</v>
      </c>
      <c r="AJ57" t="s">
        <v>37</v>
      </c>
      <c r="AK57" t="s">
        <v>338</v>
      </c>
      <c r="AL57" t="s">
        <v>838</v>
      </c>
      <c r="AM57" t="s">
        <v>821</v>
      </c>
      <c r="AN57" s="1">
        <f>IFERROR(VLOOKUP(B57,'CLE Salary 2024'!A21:I53,7,FALSE), "No salary data")</f>
        <v>127296</v>
      </c>
      <c r="AO57" s="1">
        <f t="shared" si="0"/>
        <v>212160</v>
      </c>
    </row>
    <row r="58" spans="1:41" hidden="1" x14ac:dyDescent="0.25">
      <c r="A58" s="19">
        <v>22</v>
      </c>
      <c r="B58" s="19" t="s">
        <v>339</v>
      </c>
      <c r="C58" s="19">
        <v>29</v>
      </c>
      <c r="D58" s="19" t="s">
        <v>37</v>
      </c>
      <c r="E58" s="19">
        <v>0.7</v>
      </c>
      <c r="F58" s="19">
        <v>2</v>
      </c>
      <c r="G58" s="19">
        <v>0</v>
      </c>
      <c r="H58" s="19">
        <v>1</v>
      </c>
      <c r="I58" s="19">
        <v>0</v>
      </c>
      <c r="J58" s="19">
        <v>2</v>
      </c>
      <c r="K58" s="19">
        <v>2</v>
      </c>
      <c r="L58" s="19">
        <v>0</v>
      </c>
      <c r="M58" s="19">
        <v>0</v>
      </c>
      <c r="N58" s="19">
        <v>0</v>
      </c>
      <c r="O58" s="19">
        <v>0</v>
      </c>
      <c r="P58" s="19">
        <v>12</v>
      </c>
      <c r="Q58" s="19">
        <v>10</v>
      </c>
      <c r="R58" s="19">
        <v>0</v>
      </c>
      <c r="S58" s="19">
        <v>0</v>
      </c>
      <c r="T58" s="19">
        <v>0</v>
      </c>
      <c r="U58" s="19">
        <v>1</v>
      </c>
      <c r="V58" s="19">
        <v>0</v>
      </c>
      <c r="W58" s="19">
        <v>20</v>
      </c>
      <c r="X58" s="19">
        <v>0</v>
      </c>
      <c r="Y58" s="19">
        <v>0</v>
      </c>
      <c r="Z58" s="19">
        <v>0</v>
      </c>
      <c r="AA58" s="19">
        <v>45</v>
      </c>
      <c r="AB58" s="19"/>
      <c r="AC58" s="19">
        <v>0.08</v>
      </c>
      <c r="AD58" s="19">
        <v>0.91700000000000004</v>
      </c>
      <c r="AE58" s="19">
        <v>7.5</v>
      </c>
      <c r="AF58" s="19">
        <v>0</v>
      </c>
      <c r="AG58" s="19">
        <v>0.8</v>
      </c>
      <c r="AH58" s="19">
        <v>15</v>
      </c>
      <c r="AI58" s="19">
        <v>20</v>
      </c>
      <c r="AJ58" s="19" t="s">
        <v>37</v>
      </c>
      <c r="AK58" s="19" t="s">
        <v>340</v>
      </c>
      <c r="AL58" s="19" t="s">
        <v>838</v>
      </c>
      <c r="AM58" s="19" t="s">
        <v>821</v>
      </c>
      <c r="AN58" s="108" t="str">
        <f>IFERROR(VLOOKUP(B58,'CLE Salary 2024'!A22:I54,7,FALSE), "No salary data")</f>
        <v>No salary data</v>
      </c>
      <c r="AO58" s="1" t="e">
        <f t="shared" si="0"/>
        <v>#VALUE!</v>
      </c>
    </row>
    <row r="59" spans="1:41" hidden="1" x14ac:dyDescent="0.25">
      <c r="A59">
        <v>23</v>
      </c>
      <c r="B59" t="s">
        <v>341</v>
      </c>
      <c r="C59">
        <v>29</v>
      </c>
      <c r="D59" t="s">
        <v>37</v>
      </c>
      <c r="E59">
        <v>0.2</v>
      </c>
      <c r="F59">
        <v>0</v>
      </c>
      <c r="G59">
        <v>0</v>
      </c>
      <c r="I59">
        <v>2.31</v>
      </c>
      <c r="J59">
        <v>10</v>
      </c>
      <c r="K59">
        <v>0</v>
      </c>
      <c r="L59">
        <v>6</v>
      </c>
      <c r="M59">
        <v>0</v>
      </c>
      <c r="N59">
        <v>0</v>
      </c>
      <c r="O59">
        <v>0</v>
      </c>
      <c r="P59">
        <v>11.2</v>
      </c>
      <c r="Q59">
        <v>11</v>
      </c>
      <c r="R59">
        <v>3</v>
      </c>
      <c r="S59">
        <v>3</v>
      </c>
      <c r="T59">
        <v>1</v>
      </c>
      <c r="U59">
        <v>3</v>
      </c>
      <c r="V59">
        <v>0</v>
      </c>
      <c r="W59">
        <v>9</v>
      </c>
      <c r="X59">
        <v>1</v>
      </c>
      <c r="Y59">
        <v>0</v>
      </c>
      <c r="Z59">
        <v>0</v>
      </c>
      <c r="AA59">
        <v>47</v>
      </c>
      <c r="AB59">
        <v>181</v>
      </c>
      <c r="AC59">
        <v>3.77</v>
      </c>
      <c r="AD59">
        <v>1.2</v>
      </c>
      <c r="AE59">
        <v>8.5</v>
      </c>
      <c r="AF59">
        <v>0.8</v>
      </c>
      <c r="AG59">
        <v>2.2999999999999998</v>
      </c>
      <c r="AH59">
        <v>6.9</v>
      </c>
      <c r="AI59">
        <v>3</v>
      </c>
      <c r="AJ59" t="s">
        <v>37</v>
      </c>
      <c r="AK59" t="s">
        <v>342</v>
      </c>
      <c r="AL59" t="s">
        <v>838</v>
      </c>
      <c r="AM59" t="s">
        <v>821</v>
      </c>
      <c r="AN59" s="1" t="str">
        <f>IFERROR(VLOOKUP(B59,'CLE Salary 2024'!A23:I55,7,FALSE), "No salary data")</f>
        <v>No salary data</v>
      </c>
      <c r="AO59" s="1" t="e">
        <f t="shared" si="0"/>
        <v>#VALUE!</v>
      </c>
    </row>
    <row r="60" spans="1:41" x14ac:dyDescent="0.25">
      <c r="A60" s="19">
        <v>24</v>
      </c>
      <c r="B60" s="19" t="s">
        <v>343</v>
      </c>
      <c r="C60" s="19">
        <v>23</v>
      </c>
      <c r="D60" s="19" t="s">
        <v>37</v>
      </c>
      <c r="E60" s="19">
        <v>0.3</v>
      </c>
      <c r="F60" s="19">
        <v>1</v>
      </c>
      <c r="G60" s="19">
        <v>0</v>
      </c>
      <c r="H60" s="19">
        <v>1</v>
      </c>
      <c r="I60" s="19">
        <v>0</v>
      </c>
      <c r="J60" s="19">
        <v>9</v>
      </c>
      <c r="K60" s="19">
        <v>1</v>
      </c>
      <c r="L60" s="19">
        <v>3</v>
      </c>
      <c r="M60" s="19">
        <v>0</v>
      </c>
      <c r="N60" s="19">
        <v>0</v>
      </c>
      <c r="O60" s="19">
        <v>0</v>
      </c>
      <c r="P60" s="19">
        <v>8.1999999999999993</v>
      </c>
      <c r="Q60" s="19">
        <v>1</v>
      </c>
      <c r="R60" s="19">
        <v>1</v>
      </c>
      <c r="S60" s="19">
        <v>0</v>
      </c>
      <c r="T60" s="19">
        <v>0</v>
      </c>
      <c r="U60" s="19">
        <v>5</v>
      </c>
      <c r="V60" s="19">
        <v>0</v>
      </c>
      <c r="W60" s="19">
        <v>6</v>
      </c>
      <c r="X60" s="19">
        <v>0</v>
      </c>
      <c r="Y60" s="19">
        <v>0</v>
      </c>
      <c r="Z60" s="19">
        <v>1</v>
      </c>
      <c r="AA60" s="19">
        <v>32</v>
      </c>
      <c r="AB60" s="19"/>
      <c r="AC60" s="19">
        <v>3.51</v>
      </c>
      <c r="AD60" s="19">
        <v>0.69199999999999995</v>
      </c>
      <c r="AE60" s="19">
        <v>1</v>
      </c>
      <c r="AF60" s="19">
        <v>0</v>
      </c>
      <c r="AG60" s="19">
        <v>5.2</v>
      </c>
      <c r="AH60" s="19">
        <v>6.2</v>
      </c>
      <c r="AI60" s="19">
        <v>1.2</v>
      </c>
      <c r="AJ60" s="19" t="s">
        <v>37</v>
      </c>
      <c r="AK60" s="19" t="s">
        <v>344</v>
      </c>
      <c r="AL60" s="19" t="s">
        <v>838</v>
      </c>
      <c r="AM60" s="19" t="s">
        <v>821</v>
      </c>
      <c r="AN60" s="108">
        <f>IFERROR(VLOOKUP(B60,'CLE Salary 2024'!A24:I56,7,FALSE), "No salary data")</f>
        <v>67626</v>
      </c>
      <c r="AO60" s="1">
        <f t="shared" si="0"/>
        <v>225420</v>
      </c>
    </row>
    <row r="61" spans="1:41" hidden="1" x14ac:dyDescent="0.25">
      <c r="A61">
        <v>25</v>
      </c>
      <c r="B61" t="s">
        <v>345</v>
      </c>
      <c r="C61">
        <v>26</v>
      </c>
      <c r="D61" t="s">
        <v>37</v>
      </c>
      <c r="E61">
        <v>0.2</v>
      </c>
      <c r="F61">
        <v>0</v>
      </c>
      <c r="G61">
        <v>0</v>
      </c>
      <c r="I61">
        <v>2.25</v>
      </c>
      <c r="J61">
        <v>3</v>
      </c>
      <c r="K61">
        <v>0</v>
      </c>
      <c r="L61">
        <v>2</v>
      </c>
      <c r="M61">
        <v>0</v>
      </c>
      <c r="N61">
        <v>0</v>
      </c>
      <c r="O61">
        <v>0</v>
      </c>
      <c r="P61">
        <v>8</v>
      </c>
      <c r="Q61">
        <v>4</v>
      </c>
      <c r="R61">
        <v>2</v>
      </c>
      <c r="S61">
        <v>2</v>
      </c>
      <c r="T61">
        <v>0</v>
      </c>
      <c r="U61">
        <v>5</v>
      </c>
      <c r="V61">
        <v>0</v>
      </c>
      <c r="W61">
        <v>8</v>
      </c>
      <c r="X61">
        <v>0</v>
      </c>
      <c r="Y61">
        <v>0</v>
      </c>
      <c r="Z61">
        <v>1</v>
      </c>
      <c r="AA61">
        <v>32</v>
      </c>
      <c r="AB61">
        <v>189</v>
      </c>
      <c r="AC61">
        <v>3.04</v>
      </c>
      <c r="AD61">
        <v>1.125</v>
      </c>
      <c r="AE61">
        <v>4.5</v>
      </c>
      <c r="AF61">
        <v>0</v>
      </c>
      <c r="AG61">
        <v>5.6</v>
      </c>
      <c r="AH61">
        <v>9</v>
      </c>
      <c r="AI61">
        <v>1.6</v>
      </c>
      <c r="AJ61" t="s">
        <v>37</v>
      </c>
      <c r="AK61" t="s">
        <v>346</v>
      </c>
      <c r="AL61" t="s">
        <v>838</v>
      </c>
      <c r="AM61" t="s">
        <v>821</v>
      </c>
      <c r="AN61" s="1" t="str">
        <f>IFERROR(VLOOKUP(B61,'CLE Salary 2024'!A25:I57,7,FALSE), "No salary data")</f>
        <v>No salary data</v>
      </c>
      <c r="AO61" s="1" t="e">
        <f t="shared" si="0"/>
        <v>#VALUE!</v>
      </c>
    </row>
    <row r="62" spans="1:41" hidden="1" x14ac:dyDescent="0.25">
      <c r="A62" s="19">
        <v>26</v>
      </c>
      <c r="B62" s="19" t="s">
        <v>347</v>
      </c>
      <c r="C62" s="19">
        <v>28</v>
      </c>
      <c r="D62" s="19" t="s">
        <v>37</v>
      </c>
      <c r="E62" s="19">
        <v>-0.2</v>
      </c>
      <c r="F62" s="19">
        <v>0</v>
      </c>
      <c r="G62" s="19">
        <v>0</v>
      </c>
      <c r="H62" s="19"/>
      <c r="I62" s="19">
        <v>9</v>
      </c>
      <c r="J62" s="19">
        <v>2</v>
      </c>
      <c r="K62" s="19">
        <v>0</v>
      </c>
      <c r="L62" s="19">
        <v>1</v>
      </c>
      <c r="M62" s="19">
        <v>0</v>
      </c>
      <c r="N62" s="19">
        <v>0</v>
      </c>
      <c r="O62" s="19">
        <v>0</v>
      </c>
      <c r="P62" s="19">
        <v>6</v>
      </c>
      <c r="Q62" s="19">
        <v>9</v>
      </c>
      <c r="R62" s="19">
        <v>6</v>
      </c>
      <c r="S62" s="19">
        <v>6</v>
      </c>
      <c r="T62" s="19">
        <v>2</v>
      </c>
      <c r="U62" s="19">
        <v>6</v>
      </c>
      <c r="V62" s="19">
        <v>0</v>
      </c>
      <c r="W62" s="19">
        <v>1</v>
      </c>
      <c r="X62" s="19">
        <v>0</v>
      </c>
      <c r="Y62" s="19">
        <v>0</v>
      </c>
      <c r="Z62" s="19">
        <v>1</v>
      </c>
      <c r="AA62" s="19">
        <v>30</v>
      </c>
      <c r="AB62" s="19">
        <v>48</v>
      </c>
      <c r="AC62" s="19">
        <v>10.17</v>
      </c>
      <c r="AD62" s="19">
        <v>2.5</v>
      </c>
      <c r="AE62" s="19">
        <v>13.5</v>
      </c>
      <c r="AF62" s="19">
        <v>3</v>
      </c>
      <c r="AG62" s="19">
        <v>9</v>
      </c>
      <c r="AH62" s="19">
        <v>1.5</v>
      </c>
      <c r="AI62" s="19">
        <v>0.17</v>
      </c>
      <c r="AJ62" s="19" t="s">
        <v>37</v>
      </c>
      <c r="AK62" s="19" t="s">
        <v>348</v>
      </c>
      <c r="AL62" s="19" t="s">
        <v>838</v>
      </c>
      <c r="AM62" s="19" t="s">
        <v>821</v>
      </c>
      <c r="AN62" s="108" t="str">
        <f>IFERROR(VLOOKUP(B62,'CLE Salary 2024'!A26:I58,7,FALSE), "No salary data")</f>
        <v>No salary data</v>
      </c>
      <c r="AO62" s="1" t="e">
        <f t="shared" si="0"/>
        <v>#VALUE!</v>
      </c>
    </row>
    <row r="63" spans="1:41" hidden="1" x14ac:dyDescent="0.25">
      <c r="A63">
        <v>27</v>
      </c>
      <c r="B63" t="s">
        <v>292</v>
      </c>
      <c r="C63">
        <v>27</v>
      </c>
      <c r="D63" t="s">
        <v>37</v>
      </c>
      <c r="E63">
        <v>-0.4</v>
      </c>
      <c r="F63">
        <v>0</v>
      </c>
      <c r="G63">
        <v>1</v>
      </c>
      <c r="H63">
        <v>0</v>
      </c>
      <c r="I63">
        <v>9</v>
      </c>
      <c r="J63">
        <v>2</v>
      </c>
      <c r="K63">
        <v>1</v>
      </c>
      <c r="L63">
        <v>1</v>
      </c>
      <c r="M63">
        <v>0</v>
      </c>
      <c r="N63">
        <v>0</v>
      </c>
      <c r="O63">
        <v>0</v>
      </c>
      <c r="P63">
        <v>5</v>
      </c>
      <c r="Q63">
        <v>11</v>
      </c>
      <c r="R63">
        <v>8</v>
      </c>
      <c r="S63">
        <v>5</v>
      </c>
      <c r="T63">
        <v>3</v>
      </c>
      <c r="U63">
        <v>3</v>
      </c>
      <c r="V63">
        <v>0</v>
      </c>
      <c r="W63">
        <v>6</v>
      </c>
      <c r="X63">
        <v>0</v>
      </c>
      <c r="Y63">
        <v>0</v>
      </c>
      <c r="Z63">
        <v>1</v>
      </c>
      <c r="AA63">
        <v>30</v>
      </c>
      <c r="AB63">
        <v>49</v>
      </c>
      <c r="AC63">
        <v>10.37</v>
      </c>
      <c r="AD63">
        <v>2.8</v>
      </c>
      <c r="AE63">
        <v>19.8</v>
      </c>
      <c r="AF63">
        <v>5.4</v>
      </c>
      <c r="AG63">
        <v>5.4</v>
      </c>
      <c r="AH63">
        <v>10.8</v>
      </c>
      <c r="AI63">
        <v>2</v>
      </c>
      <c r="AJ63" t="s">
        <v>37</v>
      </c>
      <c r="AK63" t="s">
        <v>294</v>
      </c>
      <c r="AL63" t="s">
        <v>838</v>
      </c>
      <c r="AM63" t="s">
        <v>821</v>
      </c>
      <c r="AN63" s="1" t="str">
        <f>IFERROR(VLOOKUP(B63,'CLE Salary 2024'!A27:I59,7,FALSE), "No salary data")</f>
        <v>No salary data</v>
      </c>
      <c r="AO63" s="1" t="e">
        <f t="shared" si="0"/>
        <v>#VALUE!</v>
      </c>
    </row>
    <row r="64" spans="1:41" hidden="1" x14ac:dyDescent="0.25">
      <c r="A64" s="19">
        <v>28</v>
      </c>
      <c r="B64" s="19" t="s">
        <v>349</v>
      </c>
      <c r="C64" s="19">
        <v>33</v>
      </c>
      <c r="D64" s="19" t="s">
        <v>37</v>
      </c>
      <c r="E64" s="19">
        <v>-0.2</v>
      </c>
      <c r="F64" s="19">
        <v>0</v>
      </c>
      <c r="G64" s="19">
        <v>0</v>
      </c>
      <c r="H64" s="19"/>
      <c r="I64" s="19">
        <v>10.38</v>
      </c>
      <c r="J64" s="19">
        <v>3</v>
      </c>
      <c r="K64" s="19">
        <v>0</v>
      </c>
      <c r="L64" s="19">
        <v>3</v>
      </c>
      <c r="M64" s="19">
        <v>0</v>
      </c>
      <c r="N64" s="19">
        <v>0</v>
      </c>
      <c r="O64" s="19">
        <v>0</v>
      </c>
      <c r="P64" s="19">
        <v>4.0999999999999996</v>
      </c>
      <c r="Q64" s="19">
        <v>9</v>
      </c>
      <c r="R64" s="19">
        <v>5</v>
      </c>
      <c r="S64" s="19">
        <v>5</v>
      </c>
      <c r="T64" s="19">
        <v>2</v>
      </c>
      <c r="U64" s="19">
        <v>1</v>
      </c>
      <c r="V64" s="19">
        <v>0</v>
      </c>
      <c r="W64" s="19">
        <v>4</v>
      </c>
      <c r="X64" s="19">
        <v>0</v>
      </c>
      <c r="Y64" s="19">
        <v>0</v>
      </c>
      <c r="Z64" s="19">
        <v>1</v>
      </c>
      <c r="AA64" s="19">
        <v>22</v>
      </c>
      <c r="AB64" s="19">
        <v>43</v>
      </c>
      <c r="AC64" s="19">
        <v>8.01</v>
      </c>
      <c r="AD64" s="19">
        <v>2.3079999999999998</v>
      </c>
      <c r="AE64" s="19">
        <v>18.7</v>
      </c>
      <c r="AF64" s="19">
        <v>4.2</v>
      </c>
      <c r="AG64" s="19">
        <v>2.1</v>
      </c>
      <c r="AH64" s="19">
        <v>8.3000000000000007</v>
      </c>
      <c r="AI64" s="19">
        <v>4</v>
      </c>
      <c r="AJ64" s="19" t="s">
        <v>37</v>
      </c>
      <c r="AK64" s="19" t="s">
        <v>350</v>
      </c>
      <c r="AL64" s="19" t="s">
        <v>838</v>
      </c>
      <c r="AM64" s="19" t="s">
        <v>821</v>
      </c>
      <c r="AN64" s="108" t="str">
        <f>IFERROR(VLOOKUP(B64,'CLE Salary 2024'!A28:I60,7,FALSE), "No salary data")</f>
        <v>No salary data</v>
      </c>
      <c r="AO64" s="1" t="e">
        <f t="shared" si="0"/>
        <v>#VALUE!</v>
      </c>
    </row>
    <row r="65" spans="1:41" x14ac:dyDescent="0.25">
      <c r="A65">
        <v>29</v>
      </c>
      <c r="B65" t="s">
        <v>351</v>
      </c>
      <c r="C65">
        <v>31</v>
      </c>
      <c r="D65" t="s">
        <v>37</v>
      </c>
      <c r="E65">
        <v>0.2</v>
      </c>
      <c r="F65">
        <v>0</v>
      </c>
      <c r="G65">
        <v>0</v>
      </c>
      <c r="I65">
        <v>0</v>
      </c>
      <c r="J65">
        <v>2</v>
      </c>
      <c r="K65">
        <v>0</v>
      </c>
      <c r="L65">
        <v>1</v>
      </c>
      <c r="M65">
        <v>0</v>
      </c>
      <c r="N65">
        <v>0</v>
      </c>
      <c r="O65">
        <v>0</v>
      </c>
      <c r="P65">
        <v>4</v>
      </c>
      <c r="Q65">
        <v>4</v>
      </c>
      <c r="R65">
        <v>0</v>
      </c>
      <c r="S65">
        <v>0</v>
      </c>
      <c r="T65">
        <v>0</v>
      </c>
      <c r="U65">
        <v>0</v>
      </c>
      <c r="V65">
        <v>0</v>
      </c>
      <c r="W65">
        <v>5</v>
      </c>
      <c r="X65">
        <v>0</v>
      </c>
      <c r="Y65">
        <v>0</v>
      </c>
      <c r="Z65">
        <v>0</v>
      </c>
      <c r="AA65">
        <v>15</v>
      </c>
      <c r="AC65">
        <v>0.67</v>
      </c>
      <c r="AD65">
        <v>1</v>
      </c>
      <c r="AE65">
        <v>9</v>
      </c>
      <c r="AF65">
        <v>0</v>
      </c>
      <c r="AG65">
        <v>0</v>
      </c>
      <c r="AH65">
        <v>11.3</v>
      </c>
      <c r="AJ65" t="s">
        <v>37</v>
      </c>
      <c r="AK65" t="s">
        <v>352</v>
      </c>
      <c r="AL65" t="s">
        <v>838</v>
      </c>
      <c r="AM65" t="s">
        <v>821</v>
      </c>
      <c r="AN65" s="1">
        <f>IFERROR(VLOOKUP(B65,'CLE Salary 2024'!A29:I61,7,FALSE), "No salary data")</f>
        <v>108060</v>
      </c>
      <c r="AO65" s="1">
        <f t="shared" si="0"/>
        <v>540300</v>
      </c>
    </row>
    <row r="66" spans="1:41" hidden="1" x14ac:dyDescent="0.25">
      <c r="A66" s="19">
        <v>30</v>
      </c>
      <c r="B66" s="19" t="s">
        <v>275</v>
      </c>
      <c r="C66" s="19">
        <v>31</v>
      </c>
      <c r="D66" s="19" t="s">
        <v>37</v>
      </c>
      <c r="E66" s="19">
        <v>0.1</v>
      </c>
      <c r="F66" s="19">
        <v>0</v>
      </c>
      <c r="G66" s="19">
        <v>0</v>
      </c>
      <c r="H66" s="19"/>
      <c r="I66" s="19">
        <v>0</v>
      </c>
      <c r="J66" s="19">
        <v>1</v>
      </c>
      <c r="K66" s="19">
        <v>0</v>
      </c>
      <c r="L66" s="19">
        <v>1</v>
      </c>
      <c r="M66" s="19">
        <v>0</v>
      </c>
      <c r="N66" s="19">
        <v>0</v>
      </c>
      <c r="O66" s="19">
        <v>0</v>
      </c>
      <c r="P66" s="19">
        <v>2</v>
      </c>
      <c r="Q66" s="19">
        <v>0</v>
      </c>
      <c r="R66" s="19">
        <v>0</v>
      </c>
      <c r="S66" s="19">
        <v>0</v>
      </c>
      <c r="T66" s="19">
        <v>0</v>
      </c>
      <c r="U66" s="19">
        <v>1</v>
      </c>
      <c r="V66" s="19">
        <v>0</v>
      </c>
      <c r="W66" s="19">
        <v>0</v>
      </c>
      <c r="X66" s="19">
        <v>0</v>
      </c>
      <c r="Y66" s="19">
        <v>0</v>
      </c>
      <c r="Z66" s="19">
        <v>0</v>
      </c>
      <c r="AA66" s="19">
        <v>6</v>
      </c>
      <c r="AB66" s="19"/>
      <c r="AC66" s="19">
        <v>4.67</v>
      </c>
      <c r="AD66" s="19">
        <v>0.5</v>
      </c>
      <c r="AE66" s="19">
        <v>0</v>
      </c>
      <c r="AF66" s="19">
        <v>0</v>
      </c>
      <c r="AG66" s="19">
        <v>4.5</v>
      </c>
      <c r="AH66" s="19">
        <v>0</v>
      </c>
      <c r="AI66" s="19">
        <v>0</v>
      </c>
      <c r="AJ66" s="19" t="s">
        <v>37</v>
      </c>
      <c r="AK66" s="19" t="s">
        <v>277</v>
      </c>
      <c r="AL66" s="19" t="s">
        <v>838</v>
      </c>
      <c r="AM66" s="19" t="s">
        <v>821</v>
      </c>
      <c r="AN66" s="108" t="str">
        <f>IFERROR(VLOOKUP(B66,'CLE Salary 2024'!A30:I62,7,FALSE), "No salary data")</f>
        <v>No salary data</v>
      </c>
      <c r="AO66" s="1" t="e">
        <f t="shared" si="0"/>
        <v>#VALUE!</v>
      </c>
    </row>
    <row r="67" spans="1:41" x14ac:dyDescent="0.25">
      <c r="A67">
        <v>1</v>
      </c>
      <c r="B67" t="s">
        <v>423</v>
      </c>
      <c r="C67">
        <v>27</v>
      </c>
      <c r="D67" t="s">
        <v>160</v>
      </c>
      <c r="E67">
        <v>6.4</v>
      </c>
      <c r="F67">
        <v>18</v>
      </c>
      <c r="G67">
        <v>4</v>
      </c>
      <c r="H67">
        <v>0.81799999999999995</v>
      </c>
      <c r="I67">
        <v>2.39</v>
      </c>
      <c r="J67">
        <v>31</v>
      </c>
      <c r="K67">
        <v>31</v>
      </c>
      <c r="L67">
        <v>0</v>
      </c>
      <c r="M67">
        <v>0</v>
      </c>
      <c r="N67">
        <v>0</v>
      </c>
      <c r="O67">
        <v>0</v>
      </c>
      <c r="P67">
        <v>192</v>
      </c>
      <c r="Q67">
        <v>142</v>
      </c>
      <c r="R67">
        <v>54</v>
      </c>
      <c r="S67">
        <v>51</v>
      </c>
      <c r="T67">
        <v>15</v>
      </c>
      <c r="U67">
        <v>35</v>
      </c>
      <c r="V67">
        <v>0</v>
      </c>
      <c r="W67">
        <v>228</v>
      </c>
      <c r="X67">
        <v>9</v>
      </c>
      <c r="Y67">
        <v>0</v>
      </c>
      <c r="Z67">
        <v>2</v>
      </c>
      <c r="AA67">
        <v>753</v>
      </c>
      <c r="AB67">
        <v>170</v>
      </c>
      <c r="AC67">
        <v>2.4900000000000002</v>
      </c>
      <c r="AD67">
        <v>0.92200000000000004</v>
      </c>
      <c r="AE67">
        <v>6.7</v>
      </c>
      <c r="AF67">
        <v>0.7</v>
      </c>
      <c r="AG67">
        <v>1.6</v>
      </c>
      <c r="AH67">
        <v>10.7</v>
      </c>
      <c r="AI67">
        <v>6.51</v>
      </c>
      <c r="AJ67" t="s">
        <v>424</v>
      </c>
      <c r="AK67" t="s">
        <v>425</v>
      </c>
      <c r="AL67" t="s">
        <v>838</v>
      </c>
      <c r="AM67" t="s">
        <v>822</v>
      </c>
      <c r="AN67" s="1">
        <f>IFERROR(VLOOKUP(B67,'DET Salary 2024'!$A$1:$I$35,7,FALSE), "No salary data")</f>
        <v>2650000</v>
      </c>
      <c r="AO67" s="1">
        <f t="shared" ref="AO67:AO130" si="1">AN67/E67</f>
        <v>414062.5</v>
      </c>
    </row>
    <row r="68" spans="1:41" x14ac:dyDescent="0.25">
      <c r="A68" s="19">
        <v>2</v>
      </c>
      <c r="B68" s="19" t="s">
        <v>426</v>
      </c>
      <c r="C68" s="19">
        <v>24</v>
      </c>
      <c r="D68" s="19" t="s">
        <v>160</v>
      </c>
      <c r="E68" s="19">
        <v>1.3</v>
      </c>
      <c r="F68" s="19">
        <v>4</v>
      </c>
      <c r="G68" s="19">
        <v>8</v>
      </c>
      <c r="H68" s="19">
        <v>0.33300000000000002</v>
      </c>
      <c r="I68" s="19">
        <v>3.53</v>
      </c>
      <c r="J68" s="19">
        <v>22</v>
      </c>
      <c r="K68" s="19">
        <v>22</v>
      </c>
      <c r="L68" s="19">
        <v>0</v>
      </c>
      <c r="M68" s="19">
        <v>0</v>
      </c>
      <c r="N68" s="19">
        <v>0</v>
      </c>
      <c r="O68" s="19">
        <v>0</v>
      </c>
      <c r="P68" s="19">
        <v>112.1</v>
      </c>
      <c r="Q68" s="19">
        <v>100</v>
      </c>
      <c r="R68" s="19">
        <v>51</v>
      </c>
      <c r="S68" s="19">
        <v>44</v>
      </c>
      <c r="T68" s="19">
        <v>7</v>
      </c>
      <c r="U68" s="19">
        <v>33</v>
      </c>
      <c r="V68" s="19">
        <v>0</v>
      </c>
      <c r="W68" s="19">
        <v>101</v>
      </c>
      <c r="X68" s="19">
        <v>4</v>
      </c>
      <c r="Y68" s="19">
        <v>0</v>
      </c>
      <c r="Z68" s="19">
        <v>4</v>
      </c>
      <c r="AA68" s="19">
        <v>465</v>
      </c>
      <c r="AB68" s="19">
        <v>116</v>
      </c>
      <c r="AC68" s="19">
        <v>3.17</v>
      </c>
      <c r="AD68" s="19">
        <v>1.1839999999999999</v>
      </c>
      <c r="AE68" s="19">
        <v>8</v>
      </c>
      <c r="AF68" s="19">
        <v>0.6</v>
      </c>
      <c r="AG68" s="19">
        <v>2.6</v>
      </c>
      <c r="AH68" s="19">
        <v>8.1</v>
      </c>
      <c r="AI68" s="19">
        <v>3.06</v>
      </c>
      <c r="AJ68" s="19" t="s">
        <v>37</v>
      </c>
      <c r="AK68" s="19" t="s">
        <v>427</v>
      </c>
      <c r="AL68" s="19" t="s">
        <v>838</v>
      </c>
      <c r="AM68" s="19" t="s">
        <v>822</v>
      </c>
      <c r="AN68" s="108">
        <f>IFERROR(VLOOKUP(B68,'DET Salary 2024'!$A$1:$I$35,7,FALSE), "No salary data")</f>
        <v>1013438</v>
      </c>
      <c r="AO68" s="1">
        <f t="shared" si="1"/>
        <v>779567.69230769225</v>
      </c>
    </row>
    <row r="69" spans="1:41" x14ac:dyDescent="0.25">
      <c r="A69">
        <v>3</v>
      </c>
      <c r="B69" t="s">
        <v>428</v>
      </c>
      <c r="C69">
        <v>36</v>
      </c>
      <c r="D69" t="s">
        <v>160</v>
      </c>
      <c r="E69">
        <v>-1.8</v>
      </c>
      <c r="F69">
        <v>3</v>
      </c>
      <c r="G69">
        <v>7</v>
      </c>
      <c r="H69">
        <v>0.3</v>
      </c>
      <c r="I69">
        <v>6.09</v>
      </c>
      <c r="J69">
        <v>29</v>
      </c>
      <c r="K69">
        <v>17</v>
      </c>
      <c r="L69">
        <v>2</v>
      </c>
      <c r="M69">
        <v>0</v>
      </c>
      <c r="N69">
        <v>0</v>
      </c>
      <c r="O69">
        <v>0</v>
      </c>
      <c r="P69">
        <v>112.1</v>
      </c>
      <c r="Q69">
        <v>124</v>
      </c>
      <c r="R69">
        <v>80</v>
      </c>
      <c r="S69">
        <v>76</v>
      </c>
      <c r="T69">
        <v>22</v>
      </c>
      <c r="U69">
        <v>31</v>
      </c>
      <c r="V69">
        <v>0</v>
      </c>
      <c r="W69">
        <v>96</v>
      </c>
      <c r="X69">
        <v>5</v>
      </c>
      <c r="Y69">
        <v>0</v>
      </c>
      <c r="Z69">
        <v>3</v>
      </c>
      <c r="AA69">
        <v>485</v>
      </c>
      <c r="AB69">
        <v>67</v>
      </c>
      <c r="AC69">
        <v>4.96</v>
      </c>
      <c r="AD69">
        <v>1.38</v>
      </c>
      <c r="AE69">
        <v>9.9</v>
      </c>
      <c r="AF69">
        <v>1.8</v>
      </c>
      <c r="AG69">
        <v>2.5</v>
      </c>
      <c r="AH69">
        <v>7.7</v>
      </c>
      <c r="AI69">
        <v>3.1</v>
      </c>
      <c r="AJ69" t="s">
        <v>37</v>
      </c>
      <c r="AK69" t="s">
        <v>429</v>
      </c>
      <c r="AL69" t="s">
        <v>838</v>
      </c>
      <c r="AM69" t="s">
        <v>822</v>
      </c>
      <c r="AN69" s="1">
        <f>IFERROR(VLOOKUP(B69,'DET Salary 2024'!$A$1:$I$35,7,FALSE), "No salary data")</f>
        <v>14000000</v>
      </c>
      <c r="AO69" s="1">
        <f t="shared" si="1"/>
        <v>-7777777.777777778</v>
      </c>
    </row>
    <row r="70" spans="1:41" hidden="1" x14ac:dyDescent="0.25">
      <c r="A70" s="19">
        <v>4</v>
      </c>
      <c r="B70" s="19" t="s">
        <v>430</v>
      </c>
      <c r="C70" s="19">
        <v>28</v>
      </c>
      <c r="D70" s="19" t="s">
        <v>160</v>
      </c>
      <c r="E70" s="19">
        <v>2.4</v>
      </c>
      <c r="F70" s="19">
        <v>7</v>
      </c>
      <c r="G70" s="19">
        <v>5</v>
      </c>
      <c r="H70" s="19">
        <v>0.58299999999999996</v>
      </c>
      <c r="I70" s="19">
        <v>2.95</v>
      </c>
      <c r="J70" s="19">
        <v>18</v>
      </c>
      <c r="K70" s="19">
        <v>18</v>
      </c>
      <c r="L70" s="19">
        <v>0</v>
      </c>
      <c r="M70" s="19">
        <v>0</v>
      </c>
      <c r="N70" s="19">
        <v>0</v>
      </c>
      <c r="O70" s="19">
        <v>0</v>
      </c>
      <c r="P70" s="19">
        <v>106.2</v>
      </c>
      <c r="Q70" s="19">
        <v>83</v>
      </c>
      <c r="R70" s="19">
        <v>38</v>
      </c>
      <c r="S70" s="19">
        <v>35</v>
      </c>
      <c r="T70" s="19">
        <v>15</v>
      </c>
      <c r="U70" s="19">
        <v>19</v>
      </c>
      <c r="V70" s="19">
        <v>0</v>
      </c>
      <c r="W70" s="19">
        <v>133</v>
      </c>
      <c r="X70" s="19">
        <v>3</v>
      </c>
      <c r="Y70" s="19">
        <v>0</v>
      </c>
      <c r="Z70" s="19">
        <v>4</v>
      </c>
      <c r="AA70" s="19">
        <v>415</v>
      </c>
      <c r="AB70" s="19">
        <v>138</v>
      </c>
      <c r="AC70" s="19">
        <v>3.12</v>
      </c>
      <c r="AD70" s="19">
        <v>0.95599999999999996</v>
      </c>
      <c r="AE70" s="19">
        <v>7</v>
      </c>
      <c r="AF70" s="19">
        <v>1.3</v>
      </c>
      <c r="AG70" s="19">
        <v>1.6</v>
      </c>
      <c r="AH70" s="19">
        <v>11.2</v>
      </c>
      <c r="AI70" s="19">
        <v>7</v>
      </c>
      <c r="AJ70" s="19" t="s">
        <v>37</v>
      </c>
      <c r="AK70" s="19" t="s">
        <v>431</v>
      </c>
      <c r="AL70" s="19" t="s">
        <v>838</v>
      </c>
      <c r="AM70" s="19" t="s">
        <v>822</v>
      </c>
      <c r="AN70" s="108" t="str">
        <f>IFERROR(VLOOKUP(B70,'DET Salary 2024'!$A$1:$I$35,7,FALSE), "No salary data")</f>
        <v>No salary data</v>
      </c>
      <c r="AO70" s="1" t="e">
        <f t="shared" si="1"/>
        <v>#VALUE!</v>
      </c>
    </row>
    <row r="71" spans="1:41" x14ac:dyDescent="0.25">
      <c r="A71" s="19">
        <v>5</v>
      </c>
      <c r="B71" s="19" t="s">
        <v>432</v>
      </c>
      <c r="C71" s="19">
        <v>27</v>
      </c>
      <c r="D71" s="19" t="s">
        <v>160</v>
      </c>
      <c r="E71" s="19">
        <v>0.2</v>
      </c>
      <c r="F71" s="19">
        <v>2</v>
      </c>
      <c r="G71" s="19">
        <v>6</v>
      </c>
      <c r="H71" s="19">
        <v>0.25</v>
      </c>
      <c r="I71" s="19">
        <v>4.49</v>
      </c>
      <c r="J71" s="19">
        <v>22</v>
      </c>
      <c r="K71" s="19">
        <v>20</v>
      </c>
      <c r="L71" s="19">
        <v>0</v>
      </c>
      <c r="M71" s="19">
        <v>0</v>
      </c>
      <c r="N71" s="19">
        <v>0</v>
      </c>
      <c r="O71" s="19">
        <v>0</v>
      </c>
      <c r="P71" s="19">
        <v>102.1</v>
      </c>
      <c r="Q71" s="19">
        <v>121</v>
      </c>
      <c r="R71" s="19">
        <v>57</v>
      </c>
      <c r="S71" s="19">
        <v>51</v>
      </c>
      <c r="T71" s="19">
        <v>11</v>
      </c>
      <c r="U71" s="19">
        <v>29</v>
      </c>
      <c r="V71" s="19">
        <v>0</v>
      </c>
      <c r="W71" s="19">
        <v>78</v>
      </c>
      <c r="X71" s="19">
        <v>2</v>
      </c>
      <c r="Y71" s="19">
        <v>1</v>
      </c>
      <c r="Z71" s="19">
        <v>2</v>
      </c>
      <c r="AA71" s="19">
        <v>452</v>
      </c>
      <c r="AB71" s="19">
        <v>91</v>
      </c>
      <c r="AC71" s="19">
        <v>3.95</v>
      </c>
      <c r="AD71" s="19">
        <v>1.466</v>
      </c>
      <c r="AE71" s="19">
        <v>10.6</v>
      </c>
      <c r="AF71" s="19">
        <v>1</v>
      </c>
      <c r="AG71" s="19">
        <v>2.6</v>
      </c>
      <c r="AH71" s="19">
        <v>6.9</v>
      </c>
      <c r="AI71" s="19">
        <v>2.69</v>
      </c>
      <c r="AJ71" s="19" t="s">
        <v>37</v>
      </c>
      <c r="AK71" s="19" t="s">
        <v>433</v>
      </c>
      <c r="AL71" s="19" t="s">
        <v>838</v>
      </c>
      <c r="AM71" s="19" t="s">
        <v>822</v>
      </c>
      <c r="AN71" s="108">
        <f>IFERROR(VLOOKUP(B71,'DET Salary 2024'!$A$1:$I$35,7,FALSE), "No salary data")</f>
        <v>830000</v>
      </c>
      <c r="AO71" s="1">
        <f t="shared" si="1"/>
        <v>4150000</v>
      </c>
    </row>
    <row r="72" spans="1:41" x14ac:dyDescent="0.25">
      <c r="A72" s="19">
        <v>6</v>
      </c>
      <c r="B72" s="19" t="s">
        <v>434</v>
      </c>
      <c r="C72" s="19">
        <v>23</v>
      </c>
      <c r="D72" s="19" t="s">
        <v>160</v>
      </c>
      <c r="E72" s="19">
        <v>0.1</v>
      </c>
      <c r="F72" s="19">
        <v>6</v>
      </c>
      <c r="G72" s="19">
        <v>6</v>
      </c>
      <c r="H72" s="19">
        <v>0.5</v>
      </c>
      <c r="I72" s="19">
        <v>4.76</v>
      </c>
      <c r="J72" s="19">
        <v>19</v>
      </c>
      <c r="K72" s="19">
        <v>16</v>
      </c>
      <c r="L72" s="19">
        <v>1</v>
      </c>
      <c r="M72" s="19">
        <v>1</v>
      </c>
      <c r="N72" s="19">
        <v>1</v>
      </c>
      <c r="O72" s="19">
        <v>0</v>
      </c>
      <c r="P72" s="19">
        <v>98.1</v>
      </c>
      <c r="Q72" s="19">
        <v>100</v>
      </c>
      <c r="R72" s="19">
        <v>54</v>
      </c>
      <c r="S72" s="19">
        <v>52</v>
      </c>
      <c r="T72" s="19">
        <v>19</v>
      </c>
      <c r="U72" s="19">
        <v>31</v>
      </c>
      <c r="V72" s="19">
        <v>0</v>
      </c>
      <c r="W72" s="19">
        <v>77</v>
      </c>
      <c r="X72" s="19">
        <v>3</v>
      </c>
      <c r="Y72" s="19">
        <v>0</v>
      </c>
      <c r="Z72" s="19">
        <v>2</v>
      </c>
      <c r="AA72" s="19">
        <v>412</v>
      </c>
      <c r="AB72" s="19">
        <v>86</v>
      </c>
      <c r="AC72" s="19">
        <v>5.15</v>
      </c>
      <c r="AD72" s="19">
        <v>1.3320000000000001</v>
      </c>
      <c r="AE72" s="19">
        <v>9.1999999999999993</v>
      </c>
      <c r="AF72" s="19">
        <v>1.7</v>
      </c>
      <c r="AG72" s="19">
        <v>2.8</v>
      </c>
      <c r="AH72" s="19">
        <v>7</v>
      </c>
      <c r="AI72" s="19">
        <v>2.48</v>
      </c>
      <c r="AJ72" s="19" t="s">
        <v>37</v>
      </c>
      <c r="AK72" s="19" t="s">
        <v>435</v>
      </c>
      <c r="AL72" s="19" t="s">
        <v>838</v>
      </c>
      <c r="AM72" s="19" t="s">
        <v>822</v>
      </c>
      <c r="AN72" s="108">
        <f>IFERROR(VLOOKUP(B72,'DET Salary 2024'!$A$1:$I$35,7,FALSE), "No salary data")</f>
        <v>358020</v>
      </c>
      <c r="AO72" s="1">
        <f t="shared" si="1"/>
        <v>3580200</v>
      </c>
    </row>
    <row r="73" spans="1:41" x14ac:dyDescent="0.25">
      <c r="A73" s="19">
        <v>7</v>
      </c>
      <c r="B73" s="19" t="s">
        <v>419</v>
      </c>
      <c r="C73" s="19">
        <v>28</v>
      </c>
      <c r="D73" s="19" t="s">
        <v>169</v>
      </c>
      <c r="E73" s="19">
        <v>0.8</v>
      </c>
      <c r="F73" s="19">
        <v>3</v>
      </c>
      <c r="G73" s="19">
        <v>6</v>
      </c>
      <c r="H73" s="19">
        <v>0.33300000000000002</v>
      </c>
      <c r="I73" s="19">
        <v>3.15</v>
      </c>
      <c r="J73" s="19">
        <v>69</v>
      </c>
      <c r="K73" s="19">
        <v>0</v>
      </c>
      <c r="L73" s="19">
        <v>41</v>
      </c>
      <c r="M73" s="19">
        <v>0</v>
      </c>
      <c r="N73" s="19">
        <v>0</v>
      </c>
      <c r="O73" s="19">
        <v>28</v>
      </c>
      <c r="P73" s="19">
        <v>60</v>
      </c>
      <c r="Q73" s="19">
        <v>51</v>
      </c>
      <c r="R73" s="19">
        <v>28</v>
      </c>
      <c r="S73" s="19">
        <v>21</v>
      </c>
      <c r="T73" s="19">
        <v>5</v>
      </c>
      <c r="U73" s="19">
        <v>20</v>
      </c>
      <c r="V73" s="19">
        <v>2</v>
      </c>
      <c r="W73" s="19">
        <v>46</v>
      </c>
      <c r="X73" s="19">
        <v>2</v>
      </c>
      <c r="Y73" s="19">
        <v>1</v>
      </c>
      <c r="Z73" s="19">
        <v>1</v>
      </c>
      <c r="AA73" s="19">
        <v>250</v>
      </c>
      <c r="AB73" s="19">
        <v>130</v>
      </c>
      <c r="AC73" s="19">
        <v>3.82</v>
      </c>
      <c r="AD73" s="19">
        <v>1.1830000000000001</v>
      </c>
      <c r="AE73" s="19">
        <v>7.7</v>
      </c>
      <c r="AF73" s="19">
        <v>0.8</v>
      </c>
      <c r="AG73" s="19">
        <v>3</v>
      </c>
      <c r="AH73" s="19">
        <v>6.9</v>
      </c>
      <c r="AI73" s="19">
        <v>2.2999999999999998</v>
      </c>
      <c r="AJ73" s="19" t="s">
        <v>37</v>
      </c>
      <c r="AK73" s="19" t="s">
        <v>420</v>
      </c>
      <c r="AL73" s="19" t="s">
        <v>838</v>
      </c>
      <c r="AM73" s="19" t="s">
        <v>822</v>
      </c>
      <c r="AN73" s="108">
        <f>IFERROR(VLOOKUP(B73,'DET Salary 2024'!$A$1:$I$35,7,FALSE), "No salary data")</f>
        <v>766300</v>
      </c>
      <c r="AO73" s="1">
        <f t="shared" si="1"/>
        <v>957875</v>
      </c>
    </row>
    <row r="74" spans="1:41" x14ac:dyDescent="0.25">
      <c r="A74" s="19">
        <v>8</v>
      </c>
      <c r="B74" s="19" t="s">
        <v>436</v>
      </c>
      <c r="C74" s="19">
        <v>28</v>
      </c>
      <c r="D74" s="19" t="s">
        <v>171</v>
      </c>
      <c r="E74" s="19">
        <v>3.1</v>
      </c>
      <c r="F74" s="19">
        <v>7</v>
      </c>
      <c r="G74" s="19">
        <v>2</v>
      </c>
      <c r="H74" s="19">
        <v>0.77800000000000002</v>
      </c>
      <c r="I74" s="19">
        <v>2.19</v>
      </c>
      <c r="J74" s="19">
        <v>66</v>
      </c>
      <c r="K74" s="19">
        <v>9</v>
      </c>
      <c r="L74" s="19">
        <v>14</v>
      </c>
      <c r="M74" s="19">
        <v>0</v>
      </c>
      <c r="N74" s="19">
        <v>0</v>
      </c>
      <c r="O74" s="19">
        <v>8</v>
      </c>
      <c r="P74" s="19">
        <v>94.1</v>
      </c>
      <c r="Q74" s="19">
        <v>57</v>
      </c>
      <c r="R74" s="19">
        <v>25</v>
      </c>
      <c r="S74" s="19">
        <v>23</v>
      </c>
      <c r="T74" s="19">
        <v>7</v>
      </c>
      <c r="U74" s="19">
        <v>17</v>
      </c>
      <c r="V74" s="19">
        <v>1</v>
      </c>
      <c r="W74" s="19">
        <v>77</v>
      </c>
      <c r="X74" s="19">
        <v>4</v>
      </c>
      <c r="Y74" s="19">
        <v>0</v>
      </c>
      <c r="Z74" s="19">
        <v>0</v>
      </c>
      <c r="AA74" s="19">
        <v>354</v>
      </c>
      <c r="AB74" s="19">
        <v>186</v>
      </c>
      <c r="AC74" s="19">
        <v>3.17</v>
      </c>
      <c r="AD74" s="19">
        <v>0.78400000000000003</v>
      </c>
      <c r="AE74" s="19">
        <v>5.4</v>
      </c>
      <c r="AF74" s="19">
        <v>0.7</v>
      </c>
      <c r="AG74" s="19">
        <v>1.6</v>
      </c>
      <c r="AH74" s="19">
        <v>7.3</v>
      </c>
      <c r="AI74" s="19">
        <v>4.53</v>
      </c>
      <c r="AJ74" s="19" t="s">
        <v>437</v>
      </c>
      <c r="AK74" s="19" t="s">
        <v>438</v>
      </c>
      <c r="AL74" s="19" t="s">
        <v>838</v>
      </c>
      <c r="AM74" s="19" t="s">
        <v>822</v>
      </c>
      <c r="AN74" s="108">
        <f>IFERROR(VLOOKUP(B74,'DET Salary 2024'!$A$1:$I$35,7,FALSE), "No salary data")</f>
        <v>1080995</v>
      </c>
      <c r="AO74" s="1">
        <f t="shared" si="1"/>
        <v>348708.06451612903</v>
      </c>
    </row>
    <row r="75" spans="1:41" x14ac:dyDescent="0.25">
      <c r="A75" s="19">
        <v>9</v>
      </c>
      <c r="B75" s="19" t="s">
        <v>439</v>
      </c>
      <c r="C75" s="19">
        <v>29</v>
      </c>
      <c r="D75" s="19" t="s">
        <v>171</v>
      </c>
      <c r="E75" s="19">
        <v>1.5</v>
      </c>
      <c r="F75" s="19">
        <v>3</v>
      </c>
      <c r="G75" s="19">
        <v>4</v>
      </c>
      <c r="H75" s="19">
        <v>0.42899999999999999</v>
      </c>
      <c r="I75" s="19">
        <v>2.82</v>
      </c>
      <c r="J75" s="19">
        <v>69</v>
      </c>
      <c r="K75" s="19">
        <v>0</v>
      </c>
      <c r="L75" s="19">
        <v>14</v>
      </c>
      <c r="M75" s="19">
        <v>0</v>
      </c>
      <c r="N75" s="19">
        <v>0</v>
      </c>
      <c r="O75" s="19">
        <v>2</v>
      </c>
      <c r="P75" s="19">
        <v>70.099999999999994</v>
      </c>
      <c r="Q75" s="19">
        <v>61</v>
      </c>
      <c r="R75" s="19">
        <v>23</v>
      </c>
      <c r="S75" s="19">
        <v>22</v>
      </c>
      <c r="T75" s="19">
        <v>3</v>
      </c>
      <c r="U75" s="19">
        <v>18</v>
      </c>
      <c r="V75" s="19">
        <v>2</v>
      </c>
      <c r="W75" s="19">
        <v>63</v>
      </c>
      <c r="X75" s="19">
        <v>3</v>
      </c>
      <c r="Y75" s="19">
        <v>0</v>
      </c>
      <c r="Z75" s="19">
        <v>4</v>
      </c>
      <c r="AA75" s="19">
        <v>289</v>
      </c>
      <c r="AB75" s="19">
        <v>145</v>
      </c>
      <c r="AC75" s="19">
        <v>2.82</v>
      </c>
      <c r="AD75" s="19">
        <v>1.123</v>
      </c>
      <c r="AE75" s="19">
        <v>7.8</v>
      </c>
      <c r="AF75" s="19">
        <v>0.4</v>
      </c>
      <c r="AG75" s="19">
        <v>2.2999999999999998</v>
      </c>
      <c r="AH75" s="19">
        <v>8.1</v>
      </c>
      <c r="AI75" s="19">
        <v>3.5</v>
      </c>
      <c r="AJ75" s="19" t="s">
        <v>37</v>
      </c>
      <c r="AK75" s="19" t="s">
        <v>440</v>
      </c>
      <c r="AL75" s="19" t="s">
        <v>838</v>
      </c>
      <c r="AM75" s="19" t="s">
        <v>822</v>
      </c>
      <c r="AN75" s="108">
        <f>IFERROR(VLOOKUP(B75,'DET Salary 2024'!$A$1:$I$35,7,FALSE), "No salary data")</f>
        <v>760700</v>
      </c>
      <c r="AO75" s="1">
        <f t="shared" si="1"/>
        <v>507133.33333333331</v>
      </c>
    </row>
    <row r="76" spans="1:41" x14ac:dyDescent="0.25">
      <c r="A76" s="19">
        <v>10</v>
      </c>
      <c r="B76" s="19" t="s">
        <v>441</v>
      </c>
      <c r="C76" s="19">
        <v>26</v>
      </c>
      <c r="D76" s="19" t="s">
        <v>171</v>
      </c>
      <c r="E76" s="19">
        <v>0.7</v>
      </c>
      <c r="F76" s="19">
        <v>4</v>
      </c>
      <c r="G76" s="19">
        <v>5</v>
      </c>
      <c r="H76" s="19">
        <v>0.44400000000000001</v>
      </c>
      <c r="I76" s="19">
        <v>3.59</v>
      </c>
      <c r="J76" s="19">
        <v>46</v>
      </c>
      <c r="K76" s="19">
        <v>12</v>
      </c>
      <c r="L76" s="19">
        <v>12</v>
      </c>
      <c r="M76" s="19">
        <v>0</v>
      </c>
      <c r="N76" s="19">
        <v>0</v>
      </c>
      <c r="O76" s="19">
        <v>1</v>
      </c>
      <c r="P76" s="19">
        <v>67.2</v>
      </c>
      <c r="Q76" s="19">
        <v>55</v>
      </c>
      <c r="R76" s="19">
        <v>31</v>
      </c>
      <c r="S76" s="19">
        <v>27</v>
      </c>
      <c r="T76" s="19">
        <v>5</v>
      </c>
      <c r="U76" s="19">
        <v>30</v>
      </c>
      <c r="V76" s="19">
        <v>2</v>
      </c>
      <c r="W76" s="19">
        <v>69</v>
      </c>
      <c r="X76" s="19">
        <v>2</v>
      </c>
      <c r="Y76" s="19">
        <v>0</v>
      </c>
      <c r="Z76" s="19">
        <v>0</v>
      </c>
      <c r="AA76" s="19">
        <v>282</v>
      </c>
      <c r="AB76" s="19">
        <v>114</v>
      </c>
      <c r="AC76" s="19">
        <v>3.51</v>
      </c>
      <c r="AD76" s="19">
        <v>1.256</v>
      </c>
      <c r="AE76" s="19">
        <v>7.3</v>
      </c>
      <c r="AF76" s="19">
        <v>0.7</v>
      </c>
      <c r="AG76" s="19">
        <v>4</v>
      </c>
      <c r="AH76" s="19">
        <v>9.1999999999999993</v>
      </c>
      <c r="AI76" s="19">
        <v>2.2999999999999998</v>
      </c>
      <c r="AJ76" s="19" t="s">
        <v>37</v>
      </c>
      <c r="AK76" s="19" t="s">
        <v>442</v>
      </c>
      <c r="AL76" s="19" t="s">
        <v>838</v>
      </c>
      <c r="AM76" s="19" t="s">
        <v>822</v>
      </c>
      <c r="AN76" s="108">
        <f>IFERROR(VLOOKUP(B76,'DET Salary 2024'!$A$1:$I$35,7,FALSE), "No salary data")</f>
        <v>552942</v>
      </c>
      <c r="AO76" s="1">
        <f t="shared" si="1"/>
        <v>789917.14285714296</v>
      </c>
    </row>
    <row r="77" spans="1:41" hidden="1" x14ac:dyDescent="0.25">
      <c r="A77" s="19">
        <v>11</v>
      </c>
      <c r="B77" s="19" t="s">
        <v>443</v>
      </c>
      <c r="C77" s="19">
        <v>33</v>
      </c>
      <c r="D77" s="19" t="s">
        <v>171</v>
      </c>
      <c r="E77" s="19">
        <v>0</v>
      </c>
      <c r="F77" s="19">
        <v>6</v>
      </c>
      <c r="G77" s="19">
        <v>8</v>
      </c>
      <c r="H77" s="19">
        <v>0.42899999999999999</v>
      </c>
      <c r="I77" s="19">
        <v>4.53</v>
      </c>
      <c r="J77" s="19">
        <v>51</v>
      </c>
      <c r="K77" s="19">
        <v>0</v>
      </c>
      <c r="L77" s="19">
        <v>18</v>
      </c>
      <c r="M77" s="19">
        <v>0</v>
      </c>
      <c r="N77" s="19">
        <v>0</v>
      </c>
      <c r="O77" s="19">
        <v>2</v>
      </c>
      <c r="P77" s="19">
        <v>55.2</v>
      </c>
      <c r="Q77" s="19">
        <v>41</v>
      </c>
      <c r="R77" s="19">
        <v>31</v>
      </c>
      <c r="S77" s="19">
        <v>28</v>
      </c>
      <c r="T77" s="19">
        <v>9</v>
      </c>
      <c r="U77" s="19">
        <v>13</v>
      </c>
      <c r="V77" s="19">
        <v>0</v>
      </c>
      <c r="W77" s="19">
        <v>49</v>
      </c>
      <c r="X77" s="19">
        <v>5</v>
      </c>
      <c r="Y77" s="19">
        <v>0</v>
      </c>
      <c r="Z77" s="19">
        <v>1</v>
      </c>
      <c r="AA77" s="19">
        <v>225</v>
      </c>
      <c r="AB77" s="19">
        <v>90</v>
      </c>
      <c r="AC77" s="19">
        <v>4.4800000000000004</v>
      </c>
      <c r="AD77" s="19">
        <v>0.97</v>
      </c>
      <c r="AE77" s="19">
        <v>6.6</v>
      </c>
      <c r="AF77" s="19">
        <v>1.5</v>
      </c>
      <c r="AG77" s="19">
        <v>2.1</v>
      </c>
      <c r="AH77" s="19">
        <v>7.9</v>
      </c>
      <c r="AI77" s="19">
        <v>3.77</v>
      </c>
      <c r="AJ77" s="19" t="s">
        <v>37</v>
      </c>
      <c r="AK77" s="19" t="s">
        <v>444</v>
      </c>
      <c r="AL77" s="19" t="s">
        <v>838</v>
      </c>
      <c r="AM77" s="19" t="s">
        <v>822</v>
      </c>
      <c r="AN77" s="108" t="str">
        <f>IFERROR(VLOOKUP(B77,'DET Salary 2024'!$A$1:$I$35,7,FALSE), "No salary data")</f>
        <v>No salary data</v>
      </c>
      <c r="AO77" s="1" t="e">
        <f t="shared" si="1"/>
        <v>#VALUE!</v>
      </c>
    </row>
    <row r="78" spans="1:41" x14ac:dyDescent="0.25">
      <c r="A78" s="19">
        <v>12</v>
      </c>
      <c r="B78" s="19" t="s">
        <v>445</v>
      </c>
      <c r="C78" s="19">
        <v>28</v>
      </c>
      <c r="D78" s="19" t="s">
        <v>37</v>
      </c>
      <c r="E78" s="19">
        <v>0.6</v>
      </c>
      <c r="F78" s="19">
        <v>5</v>
      </c>
      <c r="G78" s="19">
        <v>3</v>
      </c>
      <c r="H78" s="19">
        <v>0.625</v>
      </c>
      <c r="I78" s="19">
        <v>3.61</v>
      </c>
      <c r="J78" s="19">
        <v>37</v>
      </c>
      <c r="K78" s="19">
        <v>6</v>
      </c>
      <c r="L78" s="19">
        <v>7</v>
      </c>
      <c r="M78" s="19">
        <v>0</v>
      </c>
      <c r="N78" s="19">
        <v>0</v>
      </c>
      <c r="O78" s="19">
        <v>0</v>
      </c>
      <c r="P78" s="19">
        <v>57.1</v>
      </c>
      <c r="Q78" s="19">
        <v>49</v>
      </c>
      <c r="R78" s="19">
        <v>24</v>
      </c>
      <c r="S78" s="19">
        <v>23</v>
      </c>
      <c r="T78" s="19">
        <v>9</v>
      </c>
      <c r="U78" s="19">
        <v>28</v>
      </c>
      <c r="V78" s="19">
        <v>0</v>
      </c>
      <c r="W78" s="19">
        <v>55</v>
      </c>
      <c r="X78" s="19">
        <v>3</v>
      </c>
      <c r="Y78" s="19">
        <v>0</v>
      </c>
      <c r="Z78" s="19">
        <v>4</v>
      </c>
      <c r="AA78" s="19">
        <v>246</v>
      </c>
      <c r="AB78" s="19">
        <v>113</v>
      </c>
      <c r="AC78" s="19">
        <v>4.91</v>
      </c>
      <c r="AD78" s="19">
        <v>1.343</v>
      </c>
      <c r="AE78" s="19">
        <v>7.7</v>
      </c>
      <c r="AF78" s="19">
        <v>1.4</v>
      </c>
      <c r="AG78" s="19">
        <v>4.4000000000000004</v>
      </c>
      <c r="AH78" s="19">
        <v>8.6</v>
      </c>
      <c r="AI78" s="19">
        <v>1.96</v>
      </c>
      <c r="AJ78" s="19" t="s">
        <v>37</v>
      </c>
      <c r="AK78" s="19" t="s">
        <v>446</v>
      </c>
      <c r="AL78" s="19" t="s">
        <v>838</v>
      </c>
      <c r="AM78" s="19" t="s">
        <v>822</v>
      </c>
      <c r="AN78" s="108">
        <f>IFERROR(VLOOKUP(B78,'DET Salary 2024'!$A$1:$I$35,7,FALSE), "No salary data")</f>
        <v>746600</v>
      </c>
      <c r="AO78" s="1">
        <f t="shared" si="1"/>
        <v>1244333.3333333335</v>
      </c>
    </row>
    <row r="79" spans="1:41" hidden="1" x14ac:dyDescent="0.25">
      <c r="A79" s="19">
        <v>13</v>
      </c>
      <c r="B79" s="19" t="s">
        <v>447</v>
      </c>
      <c r="C79" s="19">
        <v>26</v>
      </c>
      <c r="D79" s="19" t="s">
        <v>37</v>
      </c>
      <c r="E79" s="19">
        <v>-0.4</v>
      </c>
      <c r="F79" s="19">
        <v>0</v>
      </c>
      <c r="G79" s="19">
        <v>2</v>
      </c>
      <c r="H79" s="19">
        <v>0</v>
      </c>
      <c r="I79" s="19">
        <v>5.37</v>
      </c>
      <c r="J79" s="19">
        <v>38</v>
      </c>
      <c r="K79" s="19">
        <v>0</v>
      </c>
      <c r="L79" s="19">
        <v>16</v>
      </c>
      <c r="M79" s="19">
        <v>0</v>
      </c>
      <c r="N79" s="19">
        <v>0</v>
      </c>
      <c r="O79" s="19">
        <v>1</v>
      </c>
      <c r="P79" s="19">
        <v>55.1</v>
      </c>
      <c r="Q79" s="19">
        <v>60</v>
      </c>
      <c r="R79" s="19">
        <v>35</v>
      </c>
      <c r="S79" s="19">
        <v>33</v>
      </c>
      <c r="T79" s="19">
        <v>8</v>
      </c>
      <c r="U79" s="19">
        <v>27</v>
      </c>
      <c r="V79" s="19">
        <v>1</v>
      </c>
      <c r="W79" s="19">
        <v>60</v>
      </c>
      <c r="X79" s="19">
        <v>3</v>
      </c>
      <c r="Y79" s="19">
        <v>2</v>
      </c>
      <c r="Z79" s="19">
        <v>3</v>
      </c>
      <c r="AA79" s="19">
        <v>254</v>
      </c>
      <c r="AB79" s="19">
        <v>76</v>
      </c>
      <c r="AC79" s="19">
        <v>4.5</v>
      </c>
      <c r="AD79" s="19">
        <v>1.5720000000000001</v>
      </c>
      <c r="AE79" s="19">
        <v>9.8000000000000007</v>
      </c>
      <c r="AF79" s="19">
        <v>1.3</v>
      </c>
      <c r="AG79" s="19">
        <v>4.4000000000000004</v>
      </c>
      <c r="AH79" s="19">
        <v>9.8000000000000007</v>
      </c>
      <c r="AI79" s="19">
        <v>2.2200000000000002</v>
      </c>
      <c r="AJ79" s="19" t="s">
        <v>37</v>
      </c>
      <c r="AK79" s="19" t="s">
        <v>448</v>
      </c>
      <c r="AL79" s="19" t="s">
        <v>838</v>
      </c>
      <c r="AM79" s="19" t="s">
        <v>822</v>
      </c>
      <c r="AN79" s="108" t="str">
        <f>IFERROR(VLOOKUP(B79,'DET Salary 2024'!$A$1:$I$35,7,FALSE), "No salary data")</f>
        <v>No salary data</v>
      </c>
      <c r="AO79" s="1" t="e">
        <f t="shared" si="1"/>
        <v>#VALUE!</v>
      </c>
    </row>
    <row r="80" spans="1:41" x14ac:dyDescent="0.25">
      <c r="A80" s="19">
        <v>14</v>
      </c>
      <c r="B80" s="19" t="s">
        <v>449</v>
      </c>
      <c r="C80" s="19">
        <v>25</v>
      </c>
      <c r="D80" s="19" t="s">
        <v>37</v>
      </c>
      <c r="E80" s="19">
        <v>1.2</v>
      </c>
      <c r="F80" s="19">
        <v>6</v>
      </c>
      <c r="G80" s="19">
        <v>1</v>
      </c>
      <c r="H80" s="19">
        <v>0.85699999999999998</v>
      </c>
      <c r="I80" s="19">
        <v>2.58</v>
      </c>
      <c r="J80" s="19">
        <v>10</v>
      </c>
      <c r="K80" s="19">
        <v>1</v>
      </c>
      <c r="L80" s="19">
        <v>1</v>
      </c>
      <c r="M80" s="19">
        <v>0</v>
      </c>
      <c r="N80" s="19">
        <v>0</v>
      </c>
      <c r="O80" s="19">
        <v>0</v>
      </c>
      <c r="P80" s="19">
        <v>45.1</v>
      </c>
      <c r="Q80" s="19">
        <v>34</v>
      </c>
      <c r="R80" s="19">
        <v>13</v>
      </c>
      <c r="S80" s="19">
        <v>13</v>
      </c>
      <c r="T80" s="19">
        <v>4</v>
      </c>
      <c r="U80" s="19">
        <v>6</v>
      </c>
      <c r="V80" s="19">
        <v>0</v>
      </c>
      <c r="W80" s="19">
        <v>38</v>
      </c>
      <c r="X80" s="19">
        <v>0</v>
      </c>
      <c r="Y80" s="19">
        <v>1</v>
      </c>
      <c r="Z80" s="19">
        <v>0</v>
      </c>
      <c r="AA80" s="19">
        <v>175</v>
      </c>
      <c r="AB80" s="19">
        <v>159</v>
      </c>
      <c r="AC80" s="19">
        <v>3.03</v>
      </c>
      <c r="AD80" s="19">
        <v>0.88200000000000001</v>
      </c>
      <c r="AE80" s="19">
        <v>6.8</v>
      </c>
      <c r="AF80" s="19">
        <v>0.8</v>
      </c>
      <c r="AG80" s="19">
        <v>1.2</v>
      </c>
      <c r="AH80" s="19">
        <v>7.5</v>
      </c>
      <c r="AI80" s="19">
        <v>6.33</v>
      </c>
      <c r="AJ80" s="19" t="s">
        <v>37</v>
      </c>
      <c r="AK80" s="19" t="s">
        <v>450</v>
      </c>
      <c r="AL80" s="19" t="s">
        <v>838</v>
      </c>
      <c r="AM80" s="19" t="s">
        <v>822</v>
      </c>
      <c r="AN80" s="108">
        <f>IFERROR(VLOOKUP(B80,'DET Salary 2024'!$A$1:$I$35,7,FALSE), "No salary data")</f>
        <v>222768</v>
      </c>
      <c r="AO80" s="1">
        <f t="shared" si="1"/>
        <v>185640</v>
      </c>
    </row>
    <row r="81" spans="1:41" hidden="1" x14ac:dyDescent="0.25">
      <c r="A81" s="19">
        <v>15</v>
      </c>
      <c r="B81" s="19" t="s">
        <v>451</v>
      </c>
      <c r="C81" s="19">
        <v>34</v>
      </c>
      <c r="D81" s="19" t="s">
        <v>37</v>
      </c>
      <c r="E81" s="19">
        <v>0.5</v>
      </c>
      <c r="F81" s="19">
        <v>3</v>
      </c>
      <c r="G81" s="19">
        <v>2</v>
      </c>
      <c r="H81" s="19">
        <v>0.6</v>
      </c>
      <c r="I81" s="19">
        <v>3.16</v>
      </c>
      <c r="J81" s="19">
        <v>41</v>
      </c>
      <c r="K81" s="19">
        <v>0</v>
      </c>
      <c r="L81" s="19">
        <v>11</v>
      </c>
      <c r="M81" s="19">
        <v>0</v>
      </c>
      <c r="N81" s="19">
        <v>0</v>
      </c>
      <c r="O81" s="19">
        <v>1</v>
      </c>
      <c r="P81" s="19">
        <v>37</v>
      </c>
      <c r="Q81" s="19">
        <v>35</v>
      </c>
      <c r="R81" s="19">
        <v>16</v>
      </c>
      <c r="S81" s="19">
        <v>13</v>
      </c>
      <c r="T81" s="19">
        <v>2</v>
      </c>
      <c r="U81" s="19">
        <v>16</v>
      </c>
      <c r="V81" s="19">
        <v>2</v>
      </c>
      <c r="W81" s="19">
        <v>50</v>
      </c>
      <c r="X81" s="19">
        <v>1</v>
      </c>
      <c r="Y81" s="19">
        <v>0</v>
      </c>
      <c r="Z81" s="19">
        <v>3</v>
      </c>
      <c r="AA81" s="19">
        <v>162</v>
      </c>
      <c r="AB81" s="19">
        <v>130</v>
      </c>
      <c r="AC81" s="19">
        <v>2.54</v>
      </c>
      <c r="AD81" s="19">
        <v>1.3779999999999999</v>
      </c>
      <c r="AE81" s="19">
        <v>8.5</v>
      </c>
      <c r="AF81" s="19">
        <v>0.5</v>
      </c>
      <c r="AG81" s="19">
        <v>3.9</v>
      </c>
      <c r="AH81" s="19">
        <v>12.2</v>
      </c>
      <c r="AI81" s="19">
        <v>3.13</v>
      </c>
      <c r="AJ81" s="19" t="s">
        <v>37</v>
      </c>
      <c r="AK81" s="19" t="s">
        <v>452</v>
      </c>
      <c r="AL81" s="19" t="s">
        <v>838</v>
      </c>
      <c r="AM81" s="19" t="s">
        <v>822</v>
      </c>
      <c r="AN81" s="108" t="str">
        <f>IFERROR(VLOOKUP(B81,'DET Salary 2024'!$A$1:$I$35,7,FALSE), "No salary data")</f>
        <v>No salary data</v>
      </c>
      <c r="AO81" s="1" t="e">
        <f t="shared" si="1"/>
        <v>#VALUE!</v>
      </c>
    </row>
    <row r="82" spans="1:41" x14ac:dyDescent="0.25">
      <c r="A82" s="19">
        <v>16</v>
      </c>
      <c r="B82" s="19" t="s">
        <v>453</v>
      </c>
      <c r="C82" s="19">
        <v>26</v>
      </c>
      <c r="D82" s="19" t="s">
        <v>37</v>
      </c>
      <c r="E82" s="19">
        <v>0.9</v>
      </c>
      <c r="F82" s="19">
        <v>1</v>
      </c>
      <c r="G82" s="19">
        <v>1</v>
      </c>
      <c r="H82" s="19">
        <v>0.5</v>
      </c>
      <c r="I82" s="19">
        <v>1.84</v>
      </c>
      <c r="J82" s="19">
        <v>21</v>
      </c>
      <c r="K82" s="19">
        <v>3</v>
      </c>
      <c r="L82" s="19">
        <v>1</v>
      </c>
      <c r="M82" s="19">
        <v>0</v>
      </c>
      <c r="N82" s="19">
        <v>0</v>
      </c>
      <c r="O82" s="19">
        <v>0</v>
      </c>
      <c r="P82" s="19">
        <v>29.1</v>
      </c>
      <c r="Q82" s="19">
        <v>27</v>
      </c>
      <c r="R82" s="19">
        <v>7</v>
      </c>
      <c r="S82" s="19">
        <v>6</v>
      </c>
      <c r="T82" s="19">
        <v>2</v>
      </c>
      <c r="U82" s="19">
        <v>6</v>
      </c>
      <c r="V82" s="19">
        <v>0</v>
      </c>
      <c r="W82" s="19">
        <v>23</v>
      </c>
      <c r="X82" s="19">
        <v>0</v>
      </c>
      <c r="Y82" s="19">
        <v>0</v>
      </c>
      <c r="Z82" s="19">
        <v>0</v>
      </c>
      <c r="AA82" s="19">
        <v>120</v>
      </c>
      <c r="AB82" s="19">
        <v>223</v>
      </c>
      <c r="AC82" s="19">
        <v>3.1</v>
      </c>
      <c r="AD82" s="19">
        <v>1.125</v>
      </c>
      <c r="AE82" s="19">
        <v>8.3000000000000007</v>
      </c>
      <c r="AF82" s="19">
        <v>0.6</v>
      </c>
      <c r="AG82" s="19">
        <v>1.8</v>
      </c>
      <c r="AH82" s="19">
        <v>7.1</v>
      </c>
      <c r="AI82" s="19">
        <v>3.83</v>
      </c>
      <c r="AJ82" s="19" t="s">
        <v>37</v>
      </c>
      <c r="AK82" s="19" t="s">
        <v>454</v>
      </c>
      <c r="AL82" s="19" t="s">
        <v>838</v>
      </c>
      <c r="AM82" s="19" t="s">
        <v>822</v>
      </c>
      <c r="AN82" s="108">
        <f>IFERROR(VLOOKUP(B82,'DET Salary 2024'!$A$1:$I$35,7,FALSE), "No salary data")</f>
        <v>234702</v>
      </c>
      <c r="AO82" s="1">
        <f t="shared" si="1"/>
        <v>260780</v>
      </c>
    </row>
    <row r="83" spans="1:41" hidden="1" x14ac:dyDescent="0.25">
      <c r="A83" s="19">
        <v>17</v>
      </c>
      <c r="B83" s="19" t="s">
        <v>455</v>
      </c>
      <c r="C83" s="19">
        <v>26</v>
      </c>
      <c r="D83" s="19" t="s">
        <v>37</v>
      </c>
      <c r="E83" s="19">
        <v>0.1</v>
      </c>
      <c r="F83" s="19">
        <v>0</v>
      </c>
      <c r="G83" s="19">
        <v>1</v>
      </c>
      <c r="H83" s="19">
        <v>0</v>
      </c>
      <c r="I83" s="19">
        <v>4.88</v>
      </c>
      <c r="J83" s="19">
        <v>5</v>
      </c>
      <c r="K83" s="19">
        <v>5</v>
      </c>
      <c r="L83" s="19">
        <v>0</v>
      </c>
      <c r="M83" s="19">
        <v>0</v>
      </c>
      <c r="N83" s="19">
        <v>0</v>
      </c>
      <c r="O83" s="19">
        <v>0</v>
      </c>
      <c r="P83" s="19">
        <v>27.2</v>
      </c>
      <c r="Q83" s="19">
        <v>31</v>
      </c>
      <c r="R83" s="19">
        <v>15</v>
      </c>
      <c r="S83" s="19">
        <v>15</v>
      </c>
      <c r="T83" s="19">
        <v>3</v>
      </c>
      <c r="U83" s="19">
        <v>12</v>
      </c>
      <c r="V83" s="19">
        <v>0</v>
      </c>
      <c r="W83" s="19">
        <v>23</v>
      </c>
      <c r="X83" s="19">
        <v>0</v>
      </c>
      <c r="Y83" s="19">
        <v>0</v>
      </c>
      <c r="Z83" s="19">
        <v>1</v>
      </c>
      <c r="AA83" s="19">
        <v>123</v>
      </c>
      <c r="AB83" s="19">
        <v>84</v>
      </c>
      <c r="AC83" s="19">
        <v>4.21</v>
      </c>
      <c r="AD83" s="19">
        <v>1.554</v>
      </c>
      <c r="AE83" s="19">
        <v>10.1</v>
      </c>
      <c r="AF83" s="19">
        <v>1</v>
      </c>
      <c r="AG83" s="19">
        <v>3.9</v>
      </c>
      <c r="AH83" s="19">
        <v>7.5</v>
      </c>
      <c r="AI83" s="19">
        <v>1.92</v>
      </c>
      <c r="AJ83" s="19" t="s">
        <v>37</v>
      </c>
      <c r="AK83" s="19" t="s">
        <v>456</v>
      </c>
      <c r="AL83" s="19" t="s">
        <v>838</v>
      </c>
      <c r="AM83" s="19" t="s">
        <v>822</v>
      </c>
      <c r="AN83" s="108" t="str">
        <f>IFERROR(VLOOKUP(B83,'DET Salary 2024'!$A$1:$I$35,7,FALSE), "No salary data")</f>
        <v>No salary data</v>
      </c>
      <c r="AO83" s="1" t="e">
        <f t="shared" si="1"/>
        <v>#VALUE!</v>
      </c>
    </row>
    <row r="84" spans="1:41" hidden="1" x14ac:dyDescent="0.25">
      <c r="A84" s="19">
        <v>18</v>
      </c>
      <c r="B84" s="19" t="s">
        <v>457</v>
      </c>
      <c r="C84" s="19">
        <v>29</v>
      </c>
      <c r="D84" s="19" t="s">
        <v>37</v>
      </c>
      <c r="E84" s="19">
        <v>0.4</v>
      </c>
      <c r="F84" s="19">
        <v>1</v>
      </c>
      <c r="G84" s="19">
        <v>1</v>
      </c>
      <c r="H84" s="19">
        <v>0.5</v>
      </c>
      <c r="I84" s="19">
        <v>3.62</v>
      </c>
      <c r="J84" s="19">
        <v>6</v>
      </c>
      <c r="K84" s="19">
        <v>0</v>
      </c>
      <c r="L84" s="19">
        <v>0</v>
      </c>
      <c r="M84" s="19">
        <v>0</v>
      </c>
      <c r="N84" s="19">
        <v>0</v>
      </c>
      <c r="O84" s="19">
        <v>0</v>
      </c>
      <c r="P84" s="19">
        <v>27.1</v>
      </c>
      <c r="Q84" s="19">
        <v>16</v>
      </c>
      <c r="R84" s="19">
        <v>11</v>
      </c>
      <c r="S84" s="19">
        <v>11</v>
      </c>
      <c r="T84" s="19">
        <v>6</v>
      </c>
      <c r="U84" s="19">
        <v>9</v>
      </c>
      <c r="V84" s="19">
        <v>0</v>
      </c>
      <c r="W84" s="19">
        <v>18</v>
      </c>
      <c r="X84" s="19">
        <v>1</v>
      </c>
      <c r="Y84" s="19">
        <v>0</v>
      </c>
      <c r="Z84" s="19">
        <v>0</v>
      </c>
      <c r="AA84" s="19">
        <v>104</v>
      </c>
      <c r="AB84" s="19">
        <v>114</v>
      </c>
      <c r="AC84" s="19">
        <v>5.8</v>
      </c>
      <c r="AD84" s="19">
        <v>0.91500000000000004</v>
      </c>
      <c r="AE84" s="19">
        <v>5.3</v>
      </c>
      <c r="AF84" s="19">
        <v>2</v>
      </c>
      <c r="AG84" s="19">
        <v>3</v>
      </c>
      <c r="AH84" s="19">
        <v>5.9</v>
      </c>
      <c r="AI84" s="19">
        <v>2</v>
      </c>
      <c r="AJ84" s="19" t="s">
        <v>37</v>
      </c>
      <c r="AK84" s="19" t="s">
        <v>458</v>
      </c>
      <c r="AL84" s="19" t="s">
        <v>838</v>
      </c>
      <c r="AM84" s="19" t="s">
        <v>822</v>
      </c>
      <c r="AN84" s="108" t="str">
        <f>IFERROR(VLOOKUP(B84,'DET Salary 2024'!$A$1:$I$35,7,FALSE), "No salary data")</f>
        <v>No salary data</v>
      </c>
      <c r="AO84" s="1" t="e">
        <f t="shared" si="1"/>
        <v>#VALUE!</v>
      </c>
    </row>
    <row r="85" spans="1:41" x14ac:dyDescent="0.25">
      <c r="A85" s="19">
        <v>19</v>
      </c>
      <c r="B85" s="19" t="s">
        <v>459</v>
      </c>
      <c r="C85" s="19">
        <v>24</v>
      </c>
      <c r="D85" s="19" t="s">
        <v>37</v>
      </c>
      <c r="E85" s="19">
        <v>-0.1</v>
      </c>
      <c r="F85" s="19">
        <v>1</v>
      </c>
      <c r="G85" s="19">
        <v>1</v>
      </c>
      <c r="H85" s="19">
        <v>0.5</v>
      </c>
      <c r="I85" s="19">
        <v>4.3</v>
      </c>
      <c r="J85" s="19">
        <v>6</v>
      </c>
      <c r="K85" s="19">
        <v>1</v>
      </c>
      <c r="L85" s="19">
        <v>0</v>
      </c>
      <c r="M85" s="19">
        <v>0</v>
      </c>
      <c r="N85" s="19">
        <v>0</v>
      </c>
      <c r="O85" s="19">
        <v>0</v>
      </c>
      <c r="P85" s="19">
        <v>23</v>
      </c>
      <c r="Q85" s="19">
        <v>25</v>
      </c>
      <c r="R85" s="19">
        <v>12</v>
      </c>
      <c r="S85" s="19">
        <v>11</v>
      </c>
      <c r="T85" s="19">
        <v>2</v>
      </c>
      <c r="U85" s="19">
        <v>8</v>
      </c>
      <c r="V85" s="19">
        <v>0</v>
      </c>
      <c r="W85" s="19">
        <v>17</v>
      </c>
      <c r="X85" s="19">
        <v>1</v>
      </c>
      <c r="Y85" s="19">
        <v>0</v>
      </c>
      <c r="Z85" s="19">
        <v>0</v>
      </c>
      <c r="AA85" s="19">
        <v>101</v>
      </c>
      <c r="AB85" s="19">
        <v>96</v>
      </c>
      <c r="AC85" s="19">
        <v>3.99</v>
      </c>
      <c r="AD85" s="19">
        <v>1.4350000000000001</v>
      </c>
      <c r="AE85" s="19">
        <v>9.8000000000000007</v>
      </c>
      <c r="AF85" s="19">
        <v>0.8</v>
      </c>
      <c r="AG85" s="19">
        <v>3.1</v>
      </c>
      <c r="AH85" s="19">
        <v>6.7</v>
      </c>
      <c r="AI85" s="19">
        <v>2.13</v>
      </c>
      <c r="AJ85" s="19" t="s">
        <v>37</v>
      </c>
      <c r="AK85" s="19" t="s">
        <v>460</v>
      </c>
      <c r="AL85" s="19" t="s">
        <v>838</v>
      </c>
      <c r="AM85" s="19" t="s">
        <v>822</v>
      </c>
      <c r="AN85" s="108">
        <f>IFERROR(VLOOKUP(B85,'DET Salary 2024'!$A$1:$I$35,7,FALSE), "No salary data")</f>
        <v>135252</v>
      </c>
      <c r="AO85" s="1">
        <f t="shared" si="1"/>
        <v>-1352520</v>
      </c>
    </row>
    <row r="86" spans="1:41" x14ac:dyDescent="0.25">
      <c r="A86" s="19">
        <v>20</v>
      </c>
      <c r="B86" s="19" t="s">
        <v>461</v>
      </c>
      <c r="C86" s="19">
        <v>24</v>
      </c>
      <c r="D86" s="19" t="s">
        <v>37</v>
      </c>
      <c r="E86" s="19">
        <v>-0.3</v>
      </c>
      <c r="F86" s="19">
        <v>1</v>
      </c>
      <c r="G86" s="19">
        <v>0</v>
      </c>
      <c r="H86" s="19">
        <v>1</v>
      </c>
      <c r="I86" s="19">
        <v>5.4</v>
      </c>
      <c r="J86" s="19">
        <v>12</v>
      </c>
      <c r="K86" s="19">
        <v>1</v>
      </c>
      <c r="L86" s="19">
        <v>5</v>
      </c>
      <c r="M86" s="19">
        <v>0</v>
      </c>
      <c r="N86" s="19">
        <v>0</v>
      </c>
      <c r="O86" s="19">
        <v>0</v>
      </c>
      <c r="P86" s="19">
        <v>21.2</v>
      </c>
      <c r="Q86" s="19">
        <v>23</v>
      </c>
      <c r="R86" s="19">
        <v>15</v>
      </c>
      <c r="S86" s="19">
        <v>13</v>
      </c>
      <c r="T86" s="19">
        <v>4</v>
      </c>
      <c r="U86" s="19">
        <v>5</v>
      </c>
      <c r="V86" s="19">
        <v>1</v>
      </c>
      <c r="W86" s="19">
        <v>16</v>
      </c>
      <c r="X86" s="19">
        <v>1</v>
      </c>
      <c r="Y86" s="19">
        <v>0</v>
      </c>
      <c r="Z86" s="19">
        <v>2</v>
      </c>
      <c r="AA86" s="19">
        <v>93</v>
      </c>
      <c r="AB86" s="19">
        <v>76</v>
      </c>
      <c r="AC86" s="19">
        <v>4.92</v>
      </c>
      <c r="AD86" s="19">
        <v>1.292</v>
      </c>
      <c r="AE86" s="19">
        <v>9.6</v>
      </c>
      <c r="AF86" s="19">
        <v>1.7</v>
      </c>
      <c r="AG86" s="19">
        <v>2.1</v>
      </c>
      <c r="AH86" s="19">
        <v>6.6</v>
      </c>
      <c r="AI86" s="19">
        <v>3.2</v>
      </c>
      <c r="AJ86" s="19" t="s">
        <v>37</v>
      </c>
      <c r="AK86" s="19" t="s">
        <v>422</v>
      </c>
      <c r="AL86" s="19" t="s">
        <v>838</v>
      </c>
      <c r="AM86" s="19" t="s">
        <v>822</v>
      </c>
      <c r="AN86" s="108">
        <f>IFERROR(VLOOKUP(B86,'DET Salary 2024'!$A$1:$I$35,7,FALSE), "No salary data")</f>
        <v>139230</v>
      </c>
      <c r="AO86" s="1">
        <f t="shared" si="1"/>
        <v>-464100</v>
      </c>
    </row>
    <row r="87" spans="1:41" x14ac:dyDescent="0.25">
      <c r="A87" s="19">
        <v>21</v>
      </c>
      <c r="B87" s="19" t="s">
        <v>462</v>
      </c>
      <c r="C87" s="19">
        <v>28</v>
      </c>
      <c r="D87" s="19" t="s">
        <v>37</v>
      </c>
      <c r="E87" s="19">
        <v>1</v>
      </c>
      <c r="F87" s="19">
        <v>3</v>
      </c>
      <c r="G87" s="19">
        <v>0</v>
      </c>
      <c r="H87" s="19">
        <v>1</v>
      </c>
      <c r="I87" s="19">
        <v>0.86</v>
      </c>
      <c r="J87" s="19">
        <v>17</v>
      </c>
      <c r="K87" s="19">
        <v>0</v>
      </c>
      <c r="L87" s="19">
        <v>4</v>
      </c>
      <c r="M87" s="19">
        <v>0</v>
      </c>
      <c r="N87" s="19">
        <v>0</v>
      </c>
      <c r="O87" s="19">
        <v>0</v>
      </c>
      <c r="P87" s="19">
        <v>21</v>
      </c>
      <c r="Q87" s="19">
        <v>9</v>
      </c>
      <c r="R87" s="19">
        <v>2</v>
      </c>
      <c r="S87" s="19">
        <v>2</v>
      </c>
      <c r="T87" s="19">
        <v>0</v>
      </c>
      <c r="U87" s="19">
        <v>2</v>
      </c>
      <c r="V87" s="19">
        <v>0</v>
      </c>
      <c r="W87" s="19">
        <v>12</v>
      </c>
      <c r="X87" s="19">
        <v>2</v>
      </c>
      <c r="Y87" s="19">
        <v>0</v>
      </c>
      <c r="Z87" s="19">
        <v>0</v>
      </c>
      <c r="AA87" s="19">
        <v>73</v>
      </c>
      <c r="AB87" s="19">
        <v>482</v>
      </c>
      <c r="AC87" s="19">
        <v>2.59</v>
      </c>
      <c r="AD87" s="19">
        <v>0.52400000000000002</v>
      </c>
      <c r="AE87" s="19">
        <v>3.9</v>
      </c>
      <c r="AF87" s="19">
        <v>0</v>
      </c>
      <c r="AG87" s="19">
        <v>0.9</v>
      </c>
      <c r="AH87" s="19">
        <v>5.0999999999999996</v>
      </c>
      <c r="AI87" s="19">
        <v>6</v>
      </c>
      <c r="AJ87" s="19" t="s">
        <v>37</v>
      </c>
      <c r="AK87" s="19" t="s">
        <v>463</v>
      </c>
      <c r="AL87" s="19" t="s">
        <v>838</v>
      </c>
      <c r="AM87" s="19" t="s">
        <v>822</v>
      </c>
      <c r="AN87" s="108">
        <f>IFERROR(VLOOKUP(B87,'DET Salary 2024'!$A$1:$I$35,7,FALSE), "No salary data")</f>
        <v>163098</v>
      </c>
      <c r="AO87" s="1">
        <f t="shared" si="1"/>
        <v>163098</v>
      </c>
    </row>
    <row r="88" spans="1:41" x14ac:dyDescent="0.25">
      <c r="A88" s="19">
        <v>22</v>
      </c>
      <c r="B88" s="19" t="s">
        <v>464</v>
      </c>
      <c r="C88" s="19">
        <v>28</v>
      </c>
      <c r="D88" s="19" t="s">
        <v>37</v>
      </c>
      <c r="E88" s="19">
        <v>-0.6</v>
      </c>
      <c r="F88" s="19">
        <v>0</v>
      </c>
      <c r="G88" s="19">
        <v>3</v>
      </c>
      <c r="H88" s="19">
        <v>0</v>
      </c>
      <c r="I88" s="19">
        <v>4.34</v>
      </c>
      <c r="J88" s="19">
        <v>21</v>
      </c>
      <c r="K88" s="19">
        <v>0</v>
      </c>
      <c r="L88" s="19">
        <v>10</v>
      </c>
      <c r="M88" s="19">
        <v>0</v>
      </c>
      <c r="N88" s="19">
        <v>0</v>
      </c>
      <c r="O88" s="19">
        <v>2</v>
      </c>
      <c r="P88" s="19">
        <v>18.2</v>
      </c>
      <c r="Q88" s="19">
        <v>16</v>
      </c>
      <c r="R88" s="19">
        <v>16</v>
      </c>
      <c r="S88" s="19">
        <v>9</v>
      </c>
      <c r="T88" s="19">
        <v>0</v>
      </c>
      <c r="U88" s="19">
        <v>17</v>
      </c>
      <c r="V88" s="19">
        <v>0</v>
      </c>
      <c r="W88" s="19">
        <v>21</v>
      </c>
      <c r="X88" s="19">
        <v>2</v>
      </c>
      <c r="Y88" s="19">
        <v>0</v>
      </c>
      <c r="Z88" s="19">
        <v>4</v>
      </c>
      <c r="AA88" s="19">
        <v>90</v>
      </c>
      <c r="AB88" s="19">
        <v>95</v>
      </c>
      <c r="AC88" s="19">
        <v>3.97</v>
      </c>
      <c r="AD88" s="19">
        <v>1.768</v>
      </c>
      <c r="AE88" s="19">
        <v>7.7</v>
      </c>
      <c r="AF88" s="19">
        <v>0</v>
      </c>
      <c r="AG88" s="19">
        <v>8.1999999999999993</v>
      </c>
      <c r="AH88" s="19">
        <v>10.1</v>
      </c>
      <c r="AI88" s="19">
        <v>1.24</v>
      </c>
      <c r="AJ88" s="19" t="s">
        <v>37</v>
      </c>
      <c r="AK88" s="19" t="s">
        <v>465</v>
      </c>
      <c r="AL88" s="19" t="s">
        <v>838</v>
      </c>
      <c r="AM88" s="19" t="s">
        <v>822</v>
      </c>
      <c r="AN88" s="108">
        <f>IFERROR(VLOOKUP(B88,'DET Salary 2024'!$A$1:$I$35,7,FALSE), "No salary data")</f>
        <v>233073</v>
      </c>
      <c r="AO88" s="1">
        <f t="shared" si="1"/>
        <v>-388455</v>
      </c>
    </row>
    <row r="89" spans="1:41" x14ac:dyDescent="0.25">
      <c r="A89" s="19">
        <v>23</v>
      </c>
      <c r="B89" s="19" t="s">
        <v>466</v>
      </c>
      <c r="C89" s="19">
        <v>21</v>
      </c>
      <c r="D89" s="19" t="s">
        <v>37</v>
      </c>
      <c r="E89" s="19">
        <v>0.1</v>
      </c>
      <c r="F89" s="19">
        <v>0</v>
      </c>
      <c r="G89" s="19">
        <v>0</v>
      </c>
      <c r="H89" s="19"/>
      <c r="I89" s="19">
        <v>0</v>
      </c>
      <c r="J89" s="19">
        <v>2</v>
      </c>
      <c r="K89" s="19">
        <v>0</v>
      </c>
      <c r="L89" s="19">
        <v>1</v>
      </c>
      <c r="M89" s="19">
        <v>0</v>
      </c>
      <c r="N89" s="19">
        <v>0</v>
      </c>
      <c r="O89" s="19">
        <v>0</v>
      </c>
      <c r="P89" s="19">
        <v>4</v>
      </c>
      <c r="Q89" s="19">
        <v>1</v>
      </c>
      <c r="R89" s="19">
        <v>0</v>
      </c>
      <c r="S89" s="19">
        <v>0</v>
      </c>
      <c r="T89" s="19">
        <v>0</v>
      </c>
      <c r="U89" s="19">
        <v>1</v>
      </c>
      <c r="V89" s="19">
        <v>0</v>
      </c>
      <c r="W89" s="19">
        <v>2</v>
      </c>
      <c r="X89" s="19">
        <v>0</v>
      </c>
      <c r="Y89" s="19">
        <v>0</v>
      </c>
      <c r="Z89" s="19">
        <v>0</v>
      </c>
      <c r="AA89" s="19">
        <v>16</v>
      </c>
      <c r="AB89" s="19"/>
      <c r="AC89" s="19">
        <v>2.92</v>
      </c>
      <c r="AD89" s="19">
        <v>0.5</v>
      </c>
      <c r="AE89" s="19">
        <v>2.2999999999999998</v>
      </c>
      <c r="AF89" s="19">
        <v>0</v>
      </c>
      <c r="AG89" s="19">
        <v>2.2999999999999998</v>
      </c>
      <c r="AH89" s="19">
        <v>4.5</v>
      </c>
      <c r="AI89" s="19">
        <v>2</v>
      </c>
      <c r="AJ89" s="19" t="s">
        <v>37</v>
      </c>
      <c r="AK89" s="19" t="s">
        <v>467</v>
      </c>
      <c r="AL89" s="19" t="s">
        <v>838</v>
      </c>
      <c r="AM89" s="19" t="s">
        <v>822</v>
      </c>
      <c r="AN89" s="108">
        <f>IFERROR(VLOOKUP(B89,'DET Salary 2024'!$A$1:$I$35,7,FALSE), "No salary data")</f>
        <v>19890</v>
      </c>
      <c r="AO89" s="1">
        <f t="shared" si="1"/>
        <v>198900</v>
      </c>
    </row>
    <row r="90" spans="1:41" hidden="1" x14ac:dyDescent="0.25">
      <c r="A90" s="19">
        <v>24</v>
      </c>
      <c r="B90" s="19" t="s">
        <v>468</v>
      </c>
      <c r="C90" s="19">
        <v>27</v>
      </c>
      <c r="D90" s="19" t="s">
        <v>37</v>
      </c>
      <c r="E90" s="19">
        <v>0</v>
      </c>
      <c r="F90" s="19">
        <v>1</v>
      </c>
      <c r="G90" s="19">
        <v>0</v>
      </c>
      <c r="H90" s="19">
        <v>1</v>
      </c>
      <c r="I90" s="19">
        <v>5.4</v>
      </c>
      <c r="J90" s="19">
        <v>3</v>
      </c>
      <c r="K90" s="19">
        <v>0</v>
      </c>
      <c r="L90" s="19">
        <v>0</v>
      </c>
      <c r="M90" s="19">
        <v>0</v>
      </c>
      <c r="N90" s="19">
        <v>0</v>
      </c>
      <c r="O90" s="19">
        <v>0</v>
      </c>
      <c r="P90" s="19">
        <v>3.1</v>
      </c>
      <c r="Q90" s="19">
        <v>3</v>
      </c>
      <c r="R90" s="19">
        <v>2</v>
      </c>
      <c r="S90" s="19">
        <v>2</v>
      </c>
      <c r="T90" s="19">
        <v>0</v>
      </c>
      <c r="U90" s="19">
        <v>2</v>
      </c>
      <c r="V90" s="19">
        <v>0</v>
      </c>
      <c r="W90" s="19">
        <v>2</v>
      </c>
      <c r="X90" s="19">
        <v>1</v>
      </c>
      <c r="Y90" s="19">
        <v>0</v>
      </c>
      <c r="Z90" s="19">
        <v>0</v>
      </c>
      <c r="AA90" s="19">
        <v>16</v>
      </c>
      <c r="AB90" s="19">
        <v>84</v>
      </c>
      <c r="AC90" s="19">
        <v>4.67</v>
      </c>
      <c r="AD90" s="19">
        <v>1.5</v>
      </c>
      <c r="AE90" s="19">
        <v>8.1</v>
      </c>
      <c r="AF90" s="19">
        <v>0</v>
      </c>
      <c r="AG90" s="19">
        <v>5.4</v>
      </c>
      <c r="AH90" s="19">
        <v>5.4</v>
      </c>
      <c r="AI90" s="19">
        <v>1</v>
      </c>
      <c r="AJ90" s="19" t="s">
        <v>37</v>
      </c>
      <c r="AK90" s="19" t="s">
        <v>469</v>
      </c>
      <c r="AL90" s="19" t="s">
        <v>838</v>
      </c>
      <c r="AM90" s="19" t="s">
        <v>822</v>
      </c>
      <c r="AN90" s="108" t="str">
        <f>IFERROR(VLOOKUP(B90,'DET Salary 2024'!$A$1:$I$35,7,FALSE), "No salary data")</f>
        <v>No salary data</v>
      </c>
      <c r="AO90" s="1" t="e">
        <f t="shared" si="1"/>
        <v>#VALUE!</v>
      </c>
    </row>
    <row r="91" spans="1:41" hidden="1" x14ac:dyDescent="0.25">
      <c r="A91" s="19"/>
      <c r="B91" s="19"/>
      <c r="C91" s="19"/>
      <c r="D91" s="19"/>
      <c r="E91" s="19"/>
      <c r="F91" s="19"/>
      <c r="G91" s="19"/>
      <c r="H91" s="19"/>
      <c r="I91" s="19"/>
      <c r="J91" s="19"/>
      <c r="K91" s="19"/>
      <c r="L91" s="19"/>
      <c r="M91" s="19"/>
      <c r="N91" s="19"/>
      <c r="O91" s="19"/>
      <c r="P91" s="19"/>
      <c r="Q91" s="19"/>
      <c r="R91" s="19"/>
      <c r="S91" s="19"/>
      <c r="T91" s="19"/>
      <c r="U91" s="19"/>
      <c r="V91" s="19"/>
      <c r="W91" s="19"/>
      <c r="X91" s="19"/>
      <c r="Y91" s="19"/>
      <c r="Z91" s="19"/>
      <c r="AA91" s="19"/>
      <c r="AB91" s="19"/>
      <c r="AC91" s="19"/>
      <c r="AD91" s="19"/>
      <c r="AE91" s="19"/>
      <c r="AF91" s="19"/>
      <c r="AG91" s="19"/>
      <c r="AH91" s="19"/>
      <c r="AI91" s="19"/>
      <c r="AJ91" s="19"/>
      <c r="AK91" s="19"/>
      <c r="AL91" s="19"/>
      <c r="AM91" s="19"/>
      <c r="AN91" s="108"/>
      <c r="AO91" s="1"/>
    </row>
    <row r="92" spans="1:41" hidden="1" x14ac:dyDescent="0.25">
      <c r="A92" s="19">
        <v>26</v>
      </c>
      <c r="B92" s="19" t="s">
        <v>471</v>
      </c>
      <c r="C92" s="19">
        <v>25</v>
      </c>
      <c r="D92" s="19" t="s">
        <v>37</v>
      </c>
      <c r="E92" s="19">
        <v>0.1</v>
      </c>
      <c r="F92" s="19">
        <v>1</v>
      </c>
      <c r="G92" s="19">
        <v>0</v>
      </c>
      <c r="H92" s="19">
        <v>1</v>
      </c>
      <c r="I92" s="19">
        <v>0</v>
      </c>
      <c r="J92" s="19">
        <v>2</v>
      </c>
      <c r="K92" s="19">
        <v>0</v>
      </c>
      <c r="L92" s="19">
        <v>0</v>
      </c>
      <c r="M92" s="19">
        <v>0</v>
      </c>
      <c r="N92" s="19">
        <v>0</v>
      </c>
      <c r="O92" s="19">
        <v>0</v>
      </c>
      <c r="P92" s="19">
        <v>2</v>
      </c>
      <c r="Q92" s="19">
        <v>0</v>
      </c>
      <c r="R92" s="19">
        <v>0</v>
      </c>
      <c r="S92" s="19">
        <v>0</v>
      </c>
      <c r="T92" s="19">
        <v>0</v>
      </c>
      <c r="U92" s="19">
        <v>0</v>
      </c>
      <c r="V92" s="19">
        <v>0</v>
      </c>
      <c r="W92" s="19">
        <v>0</v>
      </c>
      <c r="X92" s="19">
        <v>0</v>
      </c>
      <c r="Y92" s="19">
        <v>0</v>
      </c>
      <c r="Z92" s="19">
        <v>0</v>
      </c>
      <c r="AA92" s="19">
        <v>6</v>
      </c>
      <c r="AB92" s="19"/>
      <c r="AC92" s="19">
        <v>3.17</v>
      </c>
      <c r="AD92" s="19">
        <v>0</v>
      </c>
      <c r="AE92" s="19">
        <v>0</v>
      </c>
      <c r="AF92" s="19">
        <v>0</v>
      </c>
      <c r="AG92" s="19">
        <v>0</v>
      </c>
      <c r="AH92" s="19">
        <v>0</v>
      </c>
      <c r="AI92" s="19"/>
      <c r="AJ92" s="19" t="s">
        <v>37</v>
      </c>
      <c r="AK92" s="19" t="s">
        <v>472</v>
      </c>
      <c r="AL92" s="19" t="s">
        <v>838</v>
      </c>
      <c r="AM92" s="19" t="s">
        <v>822</v>
      </c>
      <c r="AN92" s="108" t="str">
        <f>IFERROR(VLOOKUP(B92,'DET Salary 2024'!$A$1:$I$35,7,FALSE), "No salary data")</f>
        <v>No salary data</v>
      </c>
      <c r="AO92" s="1" t="e">
        <f t="shared" si="1"/>
        <v>#VALUE!</v>
      </c>
    </row>
    <row r="93" spans="1:41" x14ac:dyDescent="0.25">
      <c r="A93" s="19">
        <v>1</v>
      </c>
      <c r="B93" s="19" t="s">
        <v>542</v>
      </c>
      <c r="C93" s="19">
        <v>34</v>
      </c>
      <c r="D93" s="19" t="s">
        <v>160</v>
      </c>
      <c r="E93" s="19">
        <v>5.4</v>
      </c>
      <c r="F93" s="19">
        <v>16</v>
      </c>
      <c r="G93" s="19">
        <v>9</v>
      </c>
      <c r="H93" s="19">
        <v>0.64</v>
      </c>
      <c r="I93" s="19">
        <v>3</v>
      </c>
      <c r="J93" s="19">
        <v>33</v>
      </c>
      <c r="K93" s="19">
        <v>33</v>
      </c>
      <c r="L93" s="19">
        <v>0</v>
      </c>
      <c r="M93" s="19">
        <v>1</v>
      </c>
      <c r="N93" s="19">
        <v>0</v>
      </c>
      <c r="O93" s="19">
        <v>0</v>
      </c>
      <c r="P93" s="19">
        <v>206.2</v>
      </c>
      <c r="Q93" s="19">
        <v>177</v>
      </c>
      <c r="R93" s="19">
        <v>75</v>
      </c>
      <c r="S93" s="19">
        <v>69</v>
      </c>
      <c r="T93" s="19">
        <v>16</v>
      </c>
      <c r="U93" s="19">
        <v>48</v>
      </c>
      <c r="V93" s="19">
        <v>1</v>
      </c>
      <c r="W93" s="19">
        <v>181</v>
      </c>
      <c r="X93" s="19">
        <v>9</v>
      </c>
      <c r="Y93" s="19">
        <v>0</v>
      </c>
      <c r="Z93" s="19">
        <v>4</v>
      </c>
      <c r="AA93" s="19">
        <v>836</v>
      </c>
      <c r="AB93" s="19">
        <v>141</v>
      </c>
      <c r="AC93" s="19">
        <v>3.25</v>
      </c>
      <c r="AD93" s="19">
        <v>1.089</v>
      </c>
      <c r="AE93" s="19">
        <v>7.7</v>
      </c>
      <c r="AF93" s="19">
        <v>0.7</v>
      </c>
      <c r="AG93" s="19">
        <v>2.1</v>
      </c>
      <c r="AH93" s="19">
        <v>7.9</v>
      </c>
      <c r="AI93" s="19">
        <v>3.77</v>
      </c>
      <c r="AJ93" s="19" t="s">
        <v>543</v>
      </c>
      <c r="AK93" s="19" t="s">
        <v>544</v>
      </c>
      <c r="AL93" s="19" t="s">
        <v>838</v>
      </c>
      <c r="AM93" s="19" t="s">
        <v>823</v>
      </c>
      <c r="AN93" s="108">
        <f>IFERROR(VLOOKUP(B93,'KC Salary 2024'!$A$1:$I$36,7, FALSE), "No salary data")</f>
        <v>15000000</v>
      </c>
      <c r="AO93" s="1">
        <f t="shared" si="1"/>
        <v>2777777.7777777775</v>
      </c>
    </row>
    <row r="94" spans="1:41" x14ac:dyDescent="0.25">
      <c r="A94" s="19">
        <v>2</v>
      </c>
      <c r="B94" s="19" t="s">
        <v>545</v>
      </c>
      <c r="C94" s="19">
        <v>26</v>
      </c>
      <c r="D94" s="19" t="s">
        <v>160</v>
      </c>
      <c r="E94" s="19">
        <v>5</v>
      </c>
      <c r="F94" s="19">
        <v>11</v>
      </c>
      <c r="G94" s="19">
        <v>9</v>
      </c>
      <c r="H94" s="19">
        <v>0.55000000000000004</v>
      </c>
      <c r="I94" s="19">
        <v>3.14</v>
      </c>
      <c r="J94" s="19">
        <v>32</v>
      </c>
      <c r="K94" s="19">
        <v>32</v>
      </c>
      <c r="L94" s="19">
        <v>0</v>
      </c>
      <c r="M94" s="19">
        <v>1</v>
      </c>
      <c r="N94" s="19">
        <v>0</v>
      </c>
      <c r="O94" s="19">
        <v>0</v>
      </c>
      <c r="P94" s="19">
        <v>186.1</v>
      </c>
      <c r="Q94" s="19">
        <v>146</v>
      </c>
      <c r="R94" s="19">
        <v>71</v>
      </c>
      <c r="S94" s="19">
        <v>65</v>
      </c>
      <c r="T94" s="19">
        <v>15</v>
      </c>
      <c r="U94" s="19">
        <v>67</v>
      </c>
      <c r="V94" s="19">
        <v>1</v>
      </c>
      <c r="W94" s="19">
        <v>223</v>
      </c>
      <c r="X94" s="19">
        <v>6</v>
      </c>
      <c r="Y94" s="19">
        <v>0</v>
      </c>
      <c r="Z94" s="19">
        <v>11</v>
      </c>
      <c r="AA94" s="19">
        <v>762</v>
      </c>
      <c r="AB94" s="19">
        <v>135</v>
      </c>
      <c r="AC94" s="19">
        <v>2.99</v>
      </c>
      <c r="AD94" s="19">
        <v>1.143</v>
      </c>
      <c r="AE94" s="19">
        <v>7.1</v>
      </c>
      <c r="AF94" s="19">
        <v>0.7</v>
      </c>
      <c r="AG94" s="19">
        <v>3.2</v>
      </c>
      <c r="AH94" s="19">
        <v>10.8</v>
      </c>
      <c r="AI94" s="19">
        <v>3.33</v>
      </c>
      <c r="AJ94" s="19" t="s">
        <v>546</v>
      </c>
      <c r="AK94" s="19" t="s">
        <v>547</v>
      </c>
      <c r="AL94" s="19" t="s">
        <v>838</v>
      </c>
      <c r="AM94" s="19" t="s">
        <v>823</v>
      </c>
      <c r="AN94" s="108">
        <f>IFERROR(VLOOKUP(B94,'KC Salary 2024'!$A$1:$I$36,7, FALSE), "No salary data")</f>
        <v>2391763</v>
      </c>
      <c r="AO94" s="1">
        <f t="shared" si="1"/>
        <v>478352.6</v>
      </c>
    </row>
    <row r="95" spans="1:41" x14ac:dyDescent="0.25">
      <c r="A95" s="19">
        <v>3</v>
      </c>
      <c r="B95" s="19" t="s">
        <v>548</v>
      </c>
      <c r="C95" s="19">
        <v>27</v>
      </c>
      <c r="D95" s="19" t="s">
        <v>160</v>
      </c>
      <c r="E95" s="19">
        <v>3.1</v>
      </c>
      <c r="F95" s="19">
        <v>9</v>
      </c>
      <c r="G95" s="19">
        <v>13</v>
      </c>
      <c r="H95" s="19">
        <v>0.40899999999999997</v>
      </c>
      <c r="I95" s="19">
        <v>3.71</v>
      </c>
      <c r="J95" s="19">
        <v>32</v>
      </c>
      <c r="K95" s="19">
        <v>32</v>
      </c>
      <c r="L95" s="19">
        <v>0</v>
      </c>
      <c r="M95" s="19">
        <v>0</v>
      </c>
      <c r="N95" s="19">
        <v>0</v>
      </c>
      <c r="O95" s="19">
        <v>0</v>
      </c>
      <c r="P95" s="19">
        <v>179.2</v>
      </c>
      <c r="Q95" s="19">
        <v>175</v>
      </c>
      <c r="R95" s="19">
        <v>77</v>
      </c>
      <c r="S95" s="19">
        <v>74</v>
      </c>
      <c r="T95" s="19">
        <v>22</v>
      </c>
      <c r="U95" s="19">
        <v>54</v>
      </c>
      <c r="V95" s="19">
        <v>0</v>
      </c>
      <c r="W95" s="19">
        <v>170</v>
      </c>
      <c r="X95" s="19">
        <v>10</v>
      </c>
      <c r="Y95" s="19">
        <v>0</v>
      </c>
      <c r="Z95" s="19">
        <v>2</v>
      </c>
      <c r="AA95" s="19">
        <v>762</v>
      </c>
      <c r="AB95" s="19">
        <v>114</v>
      </c>
      <c r="AC95" s="19">
        <v>3.93</v>
      </c>
      <c r="AD95" s="19">
        <v>1.2749999999999999</v>
      </c>
      <c r="AE95" s="19">
        <v>8.8000000000000007</v>
      </c>
      <c r="AF95" s="19">
        <v>1.1000000000000001</v>
      </c>
      <c r="AG95" s="19">
        <v>2.7</v>
      </c>
      <c r="AH95" s="19">
        <v>8.5</v>
      </c>
      <c r="AI95" s="19">
        <v>3.15</v>
      </c>
      <c r="AJ95" s="19" t="s">
        <v>37</v>
      </c>
      <c r="AK95" s="19" t="s">
        <v>549</v>
      </c>
      <c r="AL95" s="19" t="s">
        <v>838</v>
      </c>
      <c r="AM95" s="19" t="s">
        <v>823</v>
      </c>
      <c r="AN95" s="108">
        <f>IFERROR(VLOOKUP(B95,'KC Salary 2024'!$A$1:$I$36,7, FALSE), "No salary data")</f>
        <v>4850000</v>
      </c>
      <c r="AO95" s="1">
        <f t="shared" si="1"/>
        <v>1564516.1290322579</v>
      </c>
    </row>
    <row r="96" spans="1:41" x14ac:dyDescent="0.25">
      <c r="A96" s="19">
        <v>4</v>
      </c>
      <c r="B96" s="19" t="s">
        <v>550</v>
      </c>
      <c r="C96" s="19">
        <v>32</v>
      </c>
      <c r="D96" s="19" t="s">
        <v>160</v>
      </c>
      <c r="E96" s="19">
        <v>3.4</v>
      </c>
      <c r="F96" s="19">
        <v>13</v>
      </c>
      <c r="G96" s="19">
        <v>8</v>
      </c>
      <c r="H96" s="19">
        <v>0.61899999999999999</v>
      </c>
      <c r="I96" s="19">
        <v>3.35</v>
      </c>
      <c r="J96" s="19">
        <v>29</v>
      </c>
      <c r="K96" s="19">
        <v>29</v>
      </c>
      <c r="L96" s="19">
        <v>0</v>
      </c>
      <c r="M96" s="19">
        <v>0</v>
      </c>
      <c r="N96" s="19">
        <v>0</v>
      </c>
      <c r="O96" s="19">
        <v>0</v>
      </c>
      <c r="P96" s="19">
        <v>166.2</v>
      </c>
      <c r="Q96" s="19">
        <v>154</v>
      </c>
      <c r="R96" s="19">
        <v>65</v>
      </c>
      <c r="S96" s="19">
        <v>62</v>
      </c>
      <c r="T96" s="19">
        <v>17</v>
      </c>
      <c r="U96" s="19">
        <v>45</v>
      </c>
      <c r="V96" s="19">
        <v>1</v>
      </c>
      <c r="W96" s="19">
        <v>145</v>
      </c>
      <c r="X96" s="19">
        <v>5</v>
      </c>
      <c r="Y96" s="19">
        <v>0</v>
      </c>
      <c r="Z96" s="19">
        <v>3</v>
      </c>
      <c r="AA96" s="19">
        <v>685</v>
      </c>
      <c r="AB96" s="19">
        <v>126</v>
      </c>
      <c r="AC96" s="19">
        <v>3.65</v>
      </c>
      <c r="AD96" s="19">
        <v>1.194</v>
      </c>
      <c r="AE96" s="19">
        <v>8.3000000000000007</v>
      </c>
      <c r="AF96" s="19">
        <v>0.9</v>
      </c>
      <c r="AG96" s="19">
        <v>2.4</v>
      </c>
      <c r="AH96" s="19">
        <v>7.8</v>
      </c>
      <c r="AI96" s="19">
        <v>3.22</v>
      </c>
      <c r="AJ96" s="19" t="s">
        <v>37</v>
      </c>
      <c r="AK96" s="19" t="s">
        <v>551</v>
      </c>
      <c r="AL96" s="19" t="s">
        <v>838</v>
      </c>
      <c r="AM96" s="19" t="s">
        <v>823</v>
      </c>
      <c r="AN96" s="108">
        <f>IFERROR(VLOOKUP(B96,'KC Salary 2024'!$A$1:$I$36,7, FALSE), "No salary data")</f>
        <v>16450000</v>
      </c>
      <c r="AO96" s="1">
        <f t="shared" si="1"/>
        <v>4838235.2941176472</v>
      </c>
    </row>
    <row r="97" spans="1:41" x14ac:dyDescent="0.25">
      <c r="A97" s="19">
        <v>5</v>
      </c>
      <c r="B97" s="19" t="s">
        <v>552</v>
      </c>
      <c r="C97" s="19">
        <v>26</v>
      </c>
      <c r="D97" s="19" t="s">
        <v>160</v>
      </c>
      <c r="E97" s="19">
        <v>0.8</v>
      </c>
      <c r="F97" s="19">
        <v>9</v>
      </c>
      <c r="G97" s="19">
        <v>9</v>
      </c>
      <c r="H97" s="19">
        <v>0.5</v>
      </c>
      <c r="I97" s="19">
        <v>4.53</v>
      </c>
      <c r="J97" s="19">
        <v>26</v>
      </c>
      <c r="K97" s="19">
        <v>25</v>
      </c>
      <c r="L97" s="19">
        <v>1</v>
      </c>
      <c r="M97" s="19">
        <v>0</v>
      </c>
      <c r="N97" s="19">
        <v>0</v>
      </c>
      <c r="O97" s="19">
        <v>0</v>
      </c>
      <c r="P97" s="19">
        <v>129</v>
      </c>
      <c r="Q97" s="19">
        <v>123</v>
      </c>
      <c r="R97" s="19">
        <v>70</v>
      </c>
      <c r="S97" s="19">
        <v>65</v>
      </c>
      <c r="T97" s="19">
        <v>19</v>
      </c>
      <c r="U97" s="19">
        <v>39</v>
      </c>
      <c r="V97" s="19">
        <v>1</v>
      </c>
      <c r="W97" s="19">
        <v>123</v>
      </c>
      <c r="X97" s="19">
        <v>11</v>
      </c>
      <c r="Y97" s="19">
        <v>1</v>
      </c>
      <c r="Z97" s="19">
        <v>3</v>
      </c>
      <c r="AA97" s="19">
        <v>548</v>
      </c>
      <c r="AB97" s="19">
        <v>93</v>
      </c>
      <c r="AC97" s="19">
        <v>4.34</v>
      </c>
      <c r="AD97" s="19">
        <v>1.256</v>
      </c>
      <c r="AE97" s="19">
        <v>8.6</v>
      </c>
      <c r="AF97" s="19">
        <v>1.3</v>
      </c>
      <c r="AG97" s="19">
        <v>2.7</v>
      </c>
      <c r="AH97" s="19">
        <v>8.6</v>
      </c>
      <c r="AI97" s="19">
        <v>3.15</v>
      </c>
      <c r="AJ97" s="19" t="s">
        <v>37</v>
      </c>
      <c r="AK97" s="19" t="s">
        <v>553</v>
      </c>
      <c r="AL97" s="19" t="s">
        <v>838</v>
      </c>
      <c r="AM97" s="19" t="s">
        <v>823</v>
      </c>
      <c r="AN97" s="108">
        <f>IFERROR(VLOOKUP(B97,'KC Salary 2024'!$A$1:$I$36,7, FALSE), "No salary data")</f>
        <v>620620</v>
      </c>
      <c r="AO97" s="1">
        <f>AN97/E97</f>
        <v>775775</v>
      </c>
    </row>
    <row r="98" spans="1:41" x14ac:dyDescent="0.25">
      <c r="A98" s="19">
        <v>6</v>
      </c>
      <c r="B98" s="19" t="s">
        <v>538</v>
      </c>
      <c r="C98" s="19">
        <v>27</v>
      </c>
      <c r="D98" s="19" t="s">
        <v>169</v>
      </c>
      <c r="E98" s="19">
        <v>-0.5</v>
      </c>
      <c r="F98" s="19">
        <v>5</v>
      </c>
      <c r="G98" s="19">
        <v>7</v>
      </c>
      <c r="H98" s="19">
        <v>0.41699999999999998</v>
      </c>
      <c r="I98" s="19">
        <v>4.92</v>
      </c>
      <c r="J98" s="19">
        <v>57</v>
      </c>
      <c r="K98" s="19">
        <v>0</v>
      </c>
      <c r="L98" s="19">
        <v>38</v>
      </c>
      <c r="M98" s="19">
        <v>0</v>
      </c>
      <c r="N98" s="19">
        <v>0</v>
      </c>
      <c r="O98" s="19">
        <v>18</v>
      </c>
      <c r="P98" s="19">
        <v>56.2</v>
      </c>
      <c r="Q98" s="19">
        <v>68</v>
      </c>
      <c r="R98" s="19">
        <v>36</v>
      </c>
      <c r="S98" s="19">
        <v>31</v>
      </c>
      <c r="T98" s="19">
        <v>8</v>
      </c>
      <c r="U98" s="19">
        <v>14</v>
      </c>
      <c r="V98" s="19">
        <v>2</v>
      </c>
      <c r="W98" s="19">
        <v>49</v>
      </c>
      <c r="X98" s="19">
        <v>3</v>
      </c>
      <c r="Y98" s="19">
        <v>0</v>
      </c>
      <c r="Z98" s="19">
        <v>1</v>
      </c>
      <c r="AA98" s="19">
        <v>247</v>
      </c>
      <c r="AB98" s="19">
        <v>86</v>
      </c>
      <c r="AC98" s="19">
        <v>4.17</v>
      </c>
      <c r="AD98" s="19">
        <v>1.4470000000000001</v>
      </c>
      <c r="AE98" s="19">
        <v>10.8</v>
      </c>
      <c r="AF98" s="19">
        <v>1.3</v>
      </c>
      <c r="AG98" s="19">
        <v>2.2000000000000002</v>
      </c>
      <c r="AH98" s="19">
        <v>7.8</v>
      </c>
      <c r="AI98" s="19">
        <v>3.5</v>
      </c>
      <c r="AJ98" s="19" t="s">
        <v>37</v>
      </c>
      <c r="AK98" s="19" t="s">
        <v>539</v>
      </c>
      <c r="AL98" s="19" t="s">
        <v>838</v>
      </c>
      <c r="AM98" s="19" t="s">
        <v>823</v>
      </c>
      <c r="AN98" s="108">
        <f>IFERROR(VLOOKUP(B98,'KC Salary 2024'!$A$1:$I$36,7, FALSE), "No salary data")</f>
        <v>745750</v>
      </c>
      <c r="AO98" s="1">
        <f t="shared" si="1"/>
        <v>-1491500</v>
      </c>
    </row>
    <row r="99" spans="1:41" x14ac:dyDescent="0.25">
      <c r="A99" s="19">
        <v>7</v>
      </c>
      <c r="B99" s="19" t="s">
        <v>554</v>
      </c>
      <c r="C99" s="19">
        <v>33</v>
      </c>
      <c r="D99" s="19" t="s">
        <v>171</v>
      </c>
      <c r="E99" s="19">
        <v>-0.7</v>
      </c>
      <c r="F99" s="19">
        <v>4</v>
      </c>
      <c r="G99" s="19">
        <v>3</v>
      </c>
      <c r="H99" s="19">
        <v>0.57099999999999995</v>
      </c>
      <c r="I99" s="19">
        <v>5.55</v>
      </c>
      <c r="J99" s="19">
        <v>57</v>
      </c>
      <c r="K99" s="19">
        <v>0</v>
      </c>
      <c r="L99" s="19">
        <v>21</v>
      </c>
      <c r="M99" s="19">
        <v>0</v>
      </c>
      <c r="N99" s="19">
        <v>0</v>
      </c>
      <c r="O99" s="19">
        <v>4</v>
      </c>
      <c r="P99" s="19">
        <v>58.1</v>
      </c>
      <c r="Q99" s="19">
        <v>53</v>
      </c>
      <c r="R99" s="19">
        <v>38</v>
      </c>
      <c r="S99" s="19">
        <v>36</v>
      </c>
      <c r="T99" s="19">
        <v>5</v>
      </c>
      <c r="U99" s="19">
        <v>33</v>
      </c>
      <c r="V99" s="19">
        <v>1</v>
      </c>
      <c r="W99" s="19">
        <v>44</v>
      </c>
      <c r="X99" s="19">
        <v>3</v>
      </c>
      <c r="Y99" s="19">
        <v>0</v>
      </c>
      <c r="Z99" s="19">
        <v>1</v>
      </c>
      <c r="AA99" s="19">
        <v>257</v>
      </c>
      <c r="AB99" s="19">
        <v>76</v>
      </c>
      <c r="AC99" s="19">
        <v>4.62</v>
      </c>
      <c r="AD99" s="19">
        <v>1.474</v>
      </c>
      <c r="AE99" s="19">
        <v>8.1999999999999993</v>
      </c>
      <c r="AF99" s="19">
        <v>0.8</v>
      </c>
      <c r="AG99" s="19">
        <v>5.0999999999999996</v>
      </c>
      <c r="AH99" s="19">
        <v>6.8</v>
      </c>
      <c r="AI99" s="19">
        <v>1.33</v>
      </c>
      <c r="AJ99" s="19" t="s">
        <v>37</v>
      </c>
      <c r="AK99" s="19" t="s">
        <v>555</v>
      </c>
      <c r="AL99" s="19" t="s">
        <v>838</v>
      </c>
      <c r="AM99" s="19" t="s">
        <v>823</v>
      </c>
      <c r="AN99" s="108">
        <f>IFERROR(VLOOKUP(B99,'KC Salary 2024'!$A$1:$I$36,7, FALSE), "No salary data")</f>
        <v>3500000</v>
      </c>
      <c r="AO99" s="1">
        <f t="shared" si="1"/>
        <v>-5000000</v>
      </c>
    </row>
    <row r="100" spans="1:41" hidden="1" x14ac:dyDescent="0.25">
      <c r="A100" s="19">
        <v>8</v>
      </c>
      <c r="B100" s="19" t="s">
        <v>556</v>
      </c>
      <c r="C100" s="19">
        <v>24</v>
      </c>
      <c r="D100" s="19" t="s">
        <v>171</v>
      </c>
      <c r="E100" s="19">
        <v>0.6</v>
      </c>
      <c r="F100" s="19">
        <v>2</v>
      </c>
      <c r="G100" s="19">
        <v>0</v>
      </c>
      <c r="H100" s="19">
        <v>1</v>
      </c>
      <c r="I100" s="19">
        <v>3.86</v>
      </c>
      <c r="J100" s="19">
        <v>60</v>
      </c>
      <c r="K100" s="19">
        <v>0</v>
      </c>
      <c r="L100" s="19">
        <v>3</v>
      </c>
      <c r="M100" s="19">
        <v>0</v>
      </c>
      <c r="N100" s="19">
        <v>0</v>
      </c>
      <c r="O100" s="19">
        <v>0</v>
      </c>
      <c r="P100" s="19">
        <v>53.2</v>
      </c>
      <c r="Q100" s="19">
        <v>59</v>
      </c>
      <c r="R100" s="19">
        <v>24</v>
      </c>
      <c r="S100" s="19">
        <v>23</v>
      </c>
      <c r="T100" s="19">
        <v>6</v>
      </c>
      <c r="U100" s="19">
        <v>19</v>
      </c>
      <c r="V100" s="19">
        <v>2</v>
      </c>
      <c r="W100" s="19">
        <v>49</v>
      </c>
      <c r="X100" s="19">
        <v>2</v>
      </c>
      <c r="Y100" s="19">
        <v>0</v>
      </c>
      <c r="Z100" s="19">
        <v>3</v>
      </c>
      <c r="AA100" s="19">
        <v>239</v>
      </c>
      <c r="AB100" s="19">
        <v>110</v>
      </c>
      <c r="AC100" s="19">
        <v>3.97</v>
      </c>
      <c r="AD100" s="19">
        <v>1.4530000000000001</v>
      </c>
      <c r="AE100" s="19">
        <v>9.9</v>
      </c>
      <c r="AF100" s="19">
        <v>1</v>
      </c>
      <c r="AG100" s="19">
        <v>3.2</v>
      </c>
      <c r="AH100" s="19">
        <v>8.1999999999999993</v>
      </c>
      <c r="AI100" s="19">
        <v>2.58</v>
      </c>
      <c r="AJ100" s="19" t="s">
        <v>37</v>
      </c>
      <c r="AK100" s="19" t="s">
        <v>557</v>
      </c>
      <c r="AL100" s="19" t="s">
        <v>838</v>
      </c>
      <c r="AM100" s="19" t="s">
        <v>823</v>
      </c>
      <c r="AN100" s="108" t="str">
        <f>IFERROR(VLOOKUP(B100,'KC Salary 2024'!$A$1:$I$36,7, FALSE), "No salary data")</f>
        <v>No salary data</v>
      </c>
      <c r="AO100" s="1" t="e">
        <f t="shared" si="1"/>
        <v>#VALUE!</v>
      </c>
    </row>
    <row r="101" spans="1:41" x14ac:dyDescent="0.25">
      <c r="A101" s="19">
        <v>9</v>
      </c>
      <c r="B101" s="19" t="s">
        <v>558</v>
      </c>
      <c r="C101" s="19">
        <v>30</v>
      </c>
      <c r="D101" s="19" t="s">
        <v>171</v>
      </c>
      <c r="E101" s="19">
        <v>0.5</v>
      </c>
      <c r="F101" s="19">
        <v>4</v>
      </c>
      <c r="G101" s="19">
        <v>3</v>
      </c>
      <c r="H101" s="19">
        <v>0.57099999999999995</v>
      </c>
      <c r="I101" s="19">
        <v>3.66</v>
      </c>
      <c r="J101" s="19">
        <v>59</v>
      </c>
      <c r="K101" s="19">
        <v>0</v>
      </c>
      <c r="L101" s="19">
        <v>5</v>
      </c>
      <c r="M101" s="19">
        <v>0</v>
      </c>
      <c r="N101" s="19">
        <v>0</v>
      </c>
      <c r="O101" s="19">
        <v>2</v>
      </c>
      <c r="P101" s="19">
        <v>51.2</v>
      </c>
      <c r="Q101" s="19">
        <v>48</v>
      </c>
      <c r="R101" s="19">
        <v>23</v>
      </c>
      <c r="S101" s="19">
        <v>21</v>
      </c>
      <c r="T101" s="19">
        <v>1</v>
      </c>
      <c r="U101" s="19">
        <v>20</v>
      </c>
      <c r="V101" s="19">
        <v>1</v>
      </c>
      <c r="W101" s="19">
        <v>46</v>
      </c>
      <c r="X101" s="19">
        <v>4</v>
      </c>
      <c r="Y101" s="19">
        <v>0</v>
      </c>
      <c r="Z101" s="19">
        <v>1</v>
      </c>
      <c r="AA101" s="19">
        <v>224</v>
      </c>
      <c r="AB101" s="19">
        <v>116</v>
      </c>
      <c r="AC101" s="19">
        <v>3.03</v>
      </c>
      <c r="AD101" s="19">
        <v>1.3160000000000001</v>
      </c>
      <c r="AE101" s="19">
        <v>8.4</v>
      </c>
      <c r="AF101" s="19">
        <v>0.2</v>
      </c>
      <c r="AG101" s="19">
        <v>3.5</v>
      </c>
      <c r="AH101" s="19">
        <v>8</v>
      </c>
      <c r="AI101" s="19">
        <v>2.2999999999999998</v>
      </c>
      <c r="AJ101" s="19" t="s">
        <v>37</v>
      </c>
      <c r="AK101" s="19" t="s">
        <v>559</v>
      </c>
      <c r="AL101" s="19" t="s">
        <v>838</v>
      </c>
      <c r="AM101" s="19" t="s">
        <v>823</v>
      </c>
      <c r="AN101" s="108">
        <f>IFERROR(VLOOKUP(B101,'KC Salary 2024'!$A$1:$I$36,7, FALSE), "No salary data")</f>
        <v>1175000</v>
      </c>
      <c r="AO101" s="1">
        <f t="shared" si="1"/>
        <v>2350000</v>
      </c>
    </row>
    <row r="102" spans="1:41" x14ac:dyDescent="0.25">
      <c r="A102" s="19">
        <v>10</v>
      </c>
      <c r="B102" s="19" t="s">
        <v>560</v>
      </c>
      <c r="C102" s="19">
        <v>34</v>
      </c>
      <c r="D102" s="19" t="s">
        <v>171</v>
      </c>
      <c r="E102" s="19">
        <v>-0.9</v>
      </c>
      <c r="F102" s="19">
        <v>0</v>
      </c>
      <c r="G102" s="19">
        <v>4</v>
      </c>
      <c r="H102" s="19">
        <v>0</v>
      </c>
      <c r="I102" s="19">
        <v>6.53</v>
      </c>
      <c r="J102" s="19">
        <v>45</v>
      </c>
      <c r="K102" s="19">
        <v>0</v>
      </c>
      <c r="L102" s="19">
        <v>13</v>
      </c>
      <c r="M102" s="19">
        <v>0</v>
      </c>
      <c r="N102" s="19">
        <v>0</v>
      </c>
      <c r="O102" s="19">
        <v>1</v>
      </c>
      <c r="P102" s="19">
        <v>41.1</v>
      </c>
      <c r="Q102" s="19">
        <v>45</v>
      </c>
      <c r="R102" s="19">
        <v>31</v>
      </c>
      <c r="S102" s="19">
        <v>30</v>
      </c>
      <c r="T102" s="19">
        <v>7</v>
      </c>
      <c r="U102" s="19">
        <v>15</v>
      </c>
      <c r="V102" s="19">
        <v>2</v>
      </c>
      <c r="W102" s="19">
        <v>29</v>
      </c>
      <c r="X102" s="19">
        <v>3</v>
      </c>
      <c r="Y102" s="19">
        <v>0</v>
      </c>
      <c r="Z102" s="19">
        <v>0</v>
      </c>
      <c r="AA102" s="19">
        <v>186</v>
      </c>
      <c r="AB102" s="19">
        <v>65</v>
      </c>
      <c r="AC102" s="19">
        <v>5.27</v>
      </c>
      <c r="AD102" s="19">
        <v>1.452</v>
      </c>
      <c r="AE102" s="19">
        <v>9.8000000000000007</v>
      </c>
      <c r="AF102" s="19">
        <v>1.5</v>
      </c>
      <c r="AG102" s="19">
        <v>3.3</v>
      </c>
      <c r="AH102" s="19">
        <v>6.3</v>
      </c>
      <c r="AI102" s="19">
        <v>1.93</v>
      </c>
      <c r="AJ102" s="19" t="s">
        <v>37</v>
      </c>
      <c r="AK102" s="19" t="s">
        <v>561</v>
      </c>
      <c r="AL102" s="19" t="s">
        <v>838</v>
      </c>
      <c r="AM102" s="19" t="s">
        <v>823</v>
      </c>
      <c r="AN102" s="108">
        <f>IFERROR(VLOOKUP(B102,'KC Salary 2024'!$A$1:$I$36,7, FALSE), "No salary data")</f>
        <v>5625000</v>
      </c>
      <c r="AO102" s="1">
        <f t="shared" si="1"/>
        <v>-6250000</v>
      </c>
    </row>
    <row r="103" spans="1:41" hidden="1" x14ac:dyDescent="0.25">
      <c r="A103">
        <v>11</v>
      </c>
      <c r="B103" t="s">
        <v>562</v>
      </c>
      <c r="C103">
        <v>27</v>
      </c>
      <c r="D103" t="s">
        <v>37</v>
      </c>
      <c r="E103">
        <v>0.9</v>
      </c>
      <c r="F103">
        <v>2</v>
      </c>
      <c r="G103">
        <v>0</v>
      </c>
      <c r="H103">
        <v>1</v>
      </c>
      <c r="I103">
        <v>3.32</v>
      </c>
      <c r="J103">
        <v>16</v>
      </c>
      <c r="K103">
        <v>3</v>
      </c>
      <c r="L103">
        <v>3</v>
      </c>
      <c r="M103">
        <v>0</v>
      </c>
      <c r="N103">
        <v>0</v>
      </c>
      <c r="O103">
        <v>1</v>
      </c>
      <c r="P103">
        <v>43.1</v>
      </c>
      <c r="Q103">
        <v>29</v>
      </c>
      <c r="R103">
        <v>17</v>
      </c>
      <c r="S103">
        <v>16</v>
      </c>
      <c r="T103">
        <v>6</v>
      </c>
      <c r="U103">
        <v>14</v>
      </c>
      <c r="V103">
        <v>0</v>
      </c>
      <c r="W103">
        <v>39</v>
      </c>
      <c r="X103">
        <v>4</v>
      </c>
      <c r="Y103">
        <v>0</v>
      </c>
      <c r="Z103">
        <v>0</v>
      </c>
      <c r="AA103">
        <v>174</v>
      </c>
      <c r="AB103">
        <v>128</v>
      </c>
      <c r="AC103">
        <v>4.41</v>
      </c>
      <c r="AD103">
        <v>0.99199999999999999</v>
      </c>
      <c r="AE103">
        <v>6</v>
      </c>
      <c r="AF103">
        <v>1.2</v>
      </c>
      <c r="AG103">
        <v>2.9</v>
      </c>
      <c r="AH103">
        <v>8.1</v>
      </c>
      <c r="AI103">
        <v>2.79</v>
      </c>
      <c r="AJ103" t="s">
        <v>37</v>
      </c>
      <c r="AK103" t="s">
        <v>563</v>
      </c>
      <c r="AL103" t="s">
        <v>838</v>
      </c>
      <c r="AM103" t="s">
        <v>823</v>
      </c>
      <c r="AN103" s="1" t="str">
        <f>IFERROR(VLOOKUP(B103,'KC Salary 2024'!$A$1:$I$36,7, FALSE), "No salary data")</f>
        <v>No salary data</v>
      </c>
      <c r="AO103" s="1" t="e">
        <f t="shared" si="1"/>
        <v>#VALUE!</v>
      </c>
    </row>
    <row r="104" spans="1:41" x14ac:dyDescent="0.25">
      <c r="A104" s="19">
        <v>12</v>
      </c>
      <c r="B104" s="19" t="s">
        <v>564</v>
      </c>
      <c r="C104" s="19">
        <v>28</v>
      </c>
      <c r="D104" s="19" t="s">
        <v>37</v>
      </c>
      <c r="E104" s="19">
        <v>0.7</v>
      </c>
      <c r="F104" s="19">
        <v>3</v>
      </c>
      <c r="G104" s="19">
        <v>3</v>
      </c>
      <c r="H104" s="19">
        <v>0.5</v>
      </c>
      <c r="I104" s="19">
        <v>3.16</v>
      </c>
      <c r="J104" s="19">
        <v>43</v>
      </c>
      <c r="K104" s="19">
        <v>0</v>
      </c>
      <c r="L104" s="19">
        <v>5</v>
      </c>
      <c r="M104" s="19">
        <v>0</v>
      </c>
      <c r="N104" s="19">
        <v>0</v>
      </c>
      <c r="O104" s="19">
        <v>1</v>
      </c>
      <c r="P104" s="19">
        <v>42.2</v>
      </c>
      <c r="Q104" s="19">
        <v>34</v>
      </c>
      <c r="R104" s="19">
        <v>17</v>
      </c>
      <c r="S104" s="19">
        <v>15</v>
      </c>
      <c r="T104" s="19">
        <v>5</v>
      </c>
      <c r="U104" s="19">
        <v>17</v>
      </c>
      <c r="V104" s="19">
        <v>1</v>
      </c>
      <c r="W104" s="19">
        <v>44</v>
      </c>
      <c r="X104" s="19">
        <v>1</v>
      </c>
      <c r="Y104" s="19">
        <v>1</v>
      </c>
      <c r="Z104" s="19">
        <v>3</v>
      </c>
      <c r="AA104" s="19">
        <v>176</v>
      </c>
      <c r="AB104" s="19">
        <v>135</v>
      </c>
      <c r="AC104" s="19">
        <v>3.89</v>
      </c>
      <c r="AD104" s="19">
        <v>1.1950000000000001</v>
      </c>
      <c r="AE104" s="19">
        <v>7.2</v>
      </c>
      <c r="AF104" s="19">
        <v>1.1000000000000001</v>
      </c>
      <c r="AG104" s="19">
        <v>3.6</v>
      </c>
      <c r="AH104" s="19">
        <v>9.3000000000000007</v>
      </c>
      <c r="AI104" s="19">
        <v>2.59</v>
      </c>
      <c r="AJ104" s="19" t="s">
        <v>37</v>
      </c>
      <c r="AK104" s="19" t="s">
        <v>565</v>
      </c>
      <c r="AL104" s="19" t="s">
        <v>838</v>
      </c>
      <c r="AM104" s="19" t="s">
        <v>823</v>
      </c>
      <c r="AN104" s="108">
        <f>IFERROR(VLOOKUP(B104,'KC Salary 2024'!$A$1:$I$36,7, FALSE), "No salary data")</f>
        <v>525096</v>
      </c>
      <c r="AO104" s="1">
        <f t="shared" si="1"/>
        <v>750137.14285714296</v>
      </c>
    </row>
    <row r="105" spans="1:41" hidden="1" x14ac:dyDescent="0.25">
      <c r="A105">
        <v>13</v>
      </c>
      <c r="B105" t="s">
        <v>566</v>
      </c>
      <c r="C105">
        <v>33</v>
      </c>
      <c r="D105" t="s">
        <v>37</v>
      </c>
      <c r="E105">
        <v>0.3</v>
      </c>
      <c r="F105">
        <v>3</v>
      </c>
      <c r="G105">
        <v>1</v>
      </c>
      <c r="H105">
        <v>0.75</v>
      </c>
      <c r="I105">
        <v>4.04</v>
      </c>
      <c r="J105">
        <v>37</v>
      </c>
      <c r="K105">
        <v>0</v>
      </c>
      <c r="L105">
        <v>19</v>
      </c>
      <c r="M105">
        <v>0</v>
      </c>
      <c r="N105">
        <v>0</v>
      </c>
      <c r="O105">
        <v>1</v>
      </c>
      <c r="P105">
        <v>35.200000000000003</v>
      </c>
      <c r="Q105">
        <v>35</v>
      </c>
      <c r="R105">
        <v>17</v>
      </c>
      <c r="S105">
        <v>16</v>
      </c>
      <c r="T105">
        <v>6</v>
      </c>
      <c r="U105">
        <v>15</v>
      </c>
      <c r="V105">
        <v>1</v>
      </c>
      <c r="W105">
        <v>29</v>
      </c>
      <c r="X105">
        <v>1</v>
      </c>
      <c r="Y105">
        <v>0</v>
      </c>
      <c r="Z105">
        <v>1</v>
      </c>
      <c r="AA105">
        <v>153</v>
      </c>
      <c r="AB105">
        <v>106</v>
      </c>
      <c r="AC105">
        <v>5.07</v>
      </c>
      <c r="AD105">
        <v>1.4019999999999999</v>
      </c>
      <c r="AE105">
        <v>8.8000000000000007</v>
      </c>
      <c r="AF105">
        <v>1.5</v>
      </c>
      <c r="AG105">
        <v>3.8</v>
      </c>
      <c r="AH105">
        <v>7.3</v>
      </c>
      <c r="AI105">
        <v>1.93</v>
      </c>
      <c r="AJ105" t="s">
        <v>37</v>
      </c>
      <c r="AK105" t="s">
        <v>567</v>
      </c>
      <c r="AL105" t="s">
        <v>838</v>
      </c>
      <c r="AM105" t="s">
        <v>823</v>
      </c>
      <c r="AN105" s="1" t="str">
        <f>IFERROR(VLOOKUP(B105,'KC Salary 2024'!$A$1:$I$36,7, FALSE), "No salary data")</f>
        <v>No salary data</v>
      </c>
      <c r="AO105" s="1" t="e">
        <f t="shared" si="1"/>
        <v>#VALUE!</v>
      </c>
    </row>
    <row r="106" spans="1:41" x14ac:dyDescent="0.25">
      <c r="A106" s="19">
        <v>14</v>
      </c>
      <c r="B106" s="19" t="s">
        <v>536</v>
      </c>
      <c r="C106" s="19">
        <v>26</v>
      </c>
      <c r="D106" s="19" t="s">
        <v>37</v>
      </c>
      <c r="E106" s="19">
        <v>0.8</v>
      </c>
      <c r="F106" s="19">
        <v>1</v>
      </c>
      <c r="G106" s="19">
        <v>1</v>
      </c>
      <c r="H106" s="19">
        <v>0.5</v>
      </c>
      <c r="I106" s="19">
        <v>2.67</v>
      </c>
      <c r="J106" s="19">
        <v>27</v>
      </c>
      <c r="K106" s="19">
        <v>0</v>
      </c>
      <c r="L106" s="19">
        <v>7</v>
      </c>
      <c r="M106" s="19">
        <v>0</v>
      </c>
      <c r="N106" s="19">
        <v>0</v>
      </c>
      <c r="O106" s="19">
        <v>1</v>
      </c>
      <c r="P106" s="19">
        <v>30.1</v>
      </c>
      <c r="Q106" s="19">
        <v>26</v>
      </c>
      <c r="R106" s="19">
        <v>12</v>
      </c>
      <c r="S106" s="19">
        <v>9</v>
      </c>
      <c r="T106" s="19">
        <v>2</v>
      </c>
      <c r="U106" s="19">
        <v>5</v>
      </c>
      <c r="V106" s="19">
        <v>3</v>
      </c>
      <c r="W106" s="19">
        <v>39</v>
      </c>
      <c r="X106" s="19">
        <v>0</v>
      </c>
      <c r="Y106" s="19">
        <v>0</v>
      </c>
      <c r="Z106" s="19">
        <v>1</v>
      </c>
      <c r="AA106" s="19">
        <v>121</v>
      </c>
      <c r="AB106" s="19">
        <v>160</v>
      </c>
      <c r="AC106" s="19">
        <v>1.95</v>
      </c>
      <c r="AD106" s="19">
        <v>1.022</v>
      </c>
      <c r="AE106" s="19">
        <v>7.7</v>
      </c>
      <c r="AF106" s="19">
        <v>0.6</v>
      </c>
      <c r="AG106" s="19">
        <v>1.5</v>
      </c>
      <c r="AH106" s="19">
        <v>11.6</v>
      </c>
      <c r="AI106" s="19">
        <v>7.8</v>
      </c>
      <c r="AJ106" s="19" t="s">
        <v>37</v>
      </c>
      <c r="AK106" s="19" t="s">
        <v>537</v>
      </c>
      <c r="AL106" s="19" t="s">
        <v>838</v>
      </c>
      <c r="AM106" s="19" t="s">
        <v>823</v>
      </c>
      <c r="AN106" s="108">
        <f>IFERROR(VLOOKUP(B106,'KC Salary 2024'!$A$1:$I$36,7, FALSE), "No salary data")</f>
        <v>2350000</v>
      </c>
      <c r="AO106" s="1">
        <f t="shared" si="1"/>
        <v>2937500</v>
      </c>
    </row>
    <row r="107" spans="1:41" hidden="1" x14ac:dyDescent="0.25">
      <c r="A107">
        <v>15</v>
      </c>
      <c r="B107" t="s">
        <v>568</v>
      </c>
      <c r="C107">
        <v>27</v>
      </c>
      <c r="D107" t="s">
        <v>37</v>
      </c>
      <c r="E107">
        <v>0.2</v>
      </c>
      <c r="F107">
        <v>0</v>
      </c>
      <c r="G107">
        <v>1</v>
      </c>
      <c r="H107">
        <v>0</v>
      </c>
      <c r="I107">
        <v>3.3</v>
      </c>
      <c r="J107">
        <v>27</v>
      </c>
      <c r="K107">
        <v>0</v>
      </c>
      <c r="L107">
        <v>10</v>
      </c>
      <c r="M107">
        <v>0</v>
      </c>
      <c r="N107">
        <v>0</v>
      </c>
      <c r="O107">
        <v>0</v>
      </c>
      <c r="P107">
        <v>30</v>
      </c>
      <c r="Q107">
        <v>24</v>
      </c>
      <c r="R107">
        <v>14</v>
      </c>
      <c r="S107">
        <v>11</v>
      </c>
      <c r="T107">
        <v>1</v>
      </c>
      <c r="U107">
        <v>16</v>
      </c>
      <c r="V107">
        <v>0</v>
      </c>
      <c r="W107">
        <v>27</v>
      </c>
      <c r="X107">
        <v>1</v>
      </c>
      <c r="Y107">
        <v>0</v>
      </c>
      <c r="Z107">
        <v>1</v>
      </c>
      <c r="AA107">
        <v>129</v>
      </c>
      <c r="AB107">
        <v>129</v>
      </c>
      <c r="AC107">
        <v>3.5</v>
      </c>
      <c r="AD107">
        <v>1.333</v>
      </c>
      <c r="AE107">
        <v>7.2</v>
      </c>
      <c r="AF107">
        <v>0.3</v>
      </c>
      <c r="AG107">
        <v>4.8</v>
      </c>
      <c r="AH107">
        <v>8.1</v>
      </c>
      <c r="AI107">
        <v>1.69</v>
      </c>
      <c r="AJ107" t="s">
        <v>37</v>
      </c>
      <c r="AK107" t="s">
        <v>569</v>
      </c>
      <c r="AL107" t="s">
        <v>838</v>
      </c>
      <c r="AM107" t="s">
        <v>823</v>
      </c>
      <c r="AN107" s="1" t="str">
        <f>IFERROR(VLOOKUP(B107,'KC Salary 2024'!$A$1:$I$36,7, FALSE), "No salary data")</f>
        <v>No salary data</v>
      </c>
      <c r="AO107" s="1" t="e">
        <f t="shared" si="1"/>
        <v>#VALUE!</v>
      </c>
    </row>
    <row r="108" spans="1:41" x14ac:dyDescent="0.25">
      <c r="A108" s="19">
        <v>16</v>
      </c>
      <c r="B108" s="19" t="s">
        <v>474</v>
      </c>
      <c r="C108" s="19">
        <v>32</v>
      </c>
      <c r="D108" s="19" t="s">
        <v>37</v>
      </c>
      <c r="E108" s="19">
        <v>1.2</v>
      </c>
      <c r="F108" s="19">
        <v>2</v>
      </c>
      <c r="G108" s="19">
        <v>0</v>
      </c>
      <c r="H108" s="19">
        <v>1</v>
      </c>
      <c r="I108" s="19">
        <v>1.57</v>
      </c>
      <c r="J108" s="19">
        <v>7</v>
      </c>
      <c r="K108" s="19">
        <v>6</v>
      </c>
      <c r="L108" s="19">
        <v>0</v>
      </c>
      <c r="M108" s="19">
        <v>0</v>
      </c>
      <c r="N108" s="19">
        <v>0</v>
      </c>
      <c r="O108" s="19">
        <v>0</v>
      </c>
      <c r="P108" s="19">
        <v>28.2</v>
      </c>
      <c r="Q108" s="19">
        <v>19</v>
      </c>
      <c r="R108" s="19">
        <v>6</v>
      </c>
      <c r="S108" s="19">
        <v>5</v>
      </c>
      <c r="T108" s="19">
        <v>2</v>
      </c>
      <c r="U108" s="19">
        <v>12</v>
      </c>
      <c r="V108" s="19">
        <v>0</v>
      </c>
      <c r="W108" s="19">
        <v>22</v>
      </c>
      <c r="X108" s="19">
        <v>1</v>
      </c>
      <c r="Y108" s="19">
        <v>0</v>
      </c>
      <c r="Z108" s="19">
        <v>0</v>
      </c>
      <c r="AA108" s="19">
        <v>117</v>
      </c>
      <c r="AB108" s="19">
        <v>272</v>
      </c>
      <c r="AC108" s="19">
        <v>3.9</v>
      </c>
      <c r="AD108" s="19">
        <v>1.081</v>
      </c>
      <c r="AE108" s="19">
        <v>6</v>
      </c>
      <c r="AF108" s="19">
        <v>0.6</v>
      </c>
      <c r="AG108" s="19">
        <v>3.8</v>
      </c>
      <c r="AH108" s="19">
        <v>6.9</v>
      </c>
      <c r="AI108" s="19">
        <v>1.83</v>
      </c>
      <c r="AJ108" s="19" t="s">
        <v>37</v>
      </c>
      <c r="AK108" s="19" t="s">
        <v>475</v>
      </c>
      <c r="AL108" s="19" t="s">
        <v>838</v>
      </c>
      <c r="AM108" s="19" t="s">
        <v>823</v>
      </c>
      <c r="AN108" s="108">
        <f>IFERROR(VLOOKUP(B108,'KC Salary 2024'!$A$1:$I$36,7, FALSE), "No salary data")</f>
        <v>2800028</v>
      </c>
      <c r="AO108" s="1">
        <f t="shared" si="1"/>
        <v>2333356.666666667</v>
      </c>
    </row>
    <row r="109" spans="1:41" x14ac:dyDescent="0.25">
      <c r="A109">
        <v>17</v>
      </c>
      <c r="B109" t="s">
        <v>570</v>
      </c>
      <c r="C109">
        <v>29</v>
      </c>
      <c r="D109" t="s">
        <v>37</v>
      </c>
      <c r="E109">
        <v>0.8</v>
      </c>
      <c r="F109">
        <v>0</v>
      </c>
      <c r="G109">
        <v>3</v>
      </c>
      <c r="H109">
        <v>0</v>
      </c>
      <c r="I109">
        <v>2.88</v>
      </c>
      <c r="J109">
        <v>23</v>
      </c>
      <c r="K109">
        <v>0</v>
      </c>
      <c r="L109">
        <v>12</v>
      </c>
      <c r="M109">
        <v>0</v>
      </c>
      <c r="N109">
        <v>0</v>
      </c>
      <c r="O109">
        <v>11</v>
      </c>
      <c r="P109">
        <v>25</v>
      </c>
      <c r="Q109">
        <v>18</v>
      </c>
      <c r="R109">
        <v>9</v>
      </c>
      <c r="S109">
        <v>8</v>
      </c>
      <c r="T109">
        <v>0</v>
      </c>
      <c r="U109">
        <v>3</v>
      </c>
      <c r="V109">
        <v>0</v>
      </c>
      <c r="W109">
        <v>31</v>
      </c>
      <c r="X109">
        <v>1</v>
      </c>
      <c r="Y109">
        <v>1</v>
      </c>
      <c r="Z109">
        <v>1</v>
      </c>
      <c r="AA109">
        <v>97</v>
      </c>
      <c r="AB109">
        <v>149</v>
      </c>
      <c r="AC109">
        <v>1.17</v>
      </c>
      <c r="AD109">
        <v>0.84</v>
      </c>
      <c r="AE109">
        <v>6.5</v>
      </c>
      <c r="AF109">
        <v>0</v>
      </c>
      <c r="AG109">
        <v>1.1000000000000001</v>
      </c>
      <c r="AH109">
        <v>11.2</v>
      </c>
      <c r="AI109">
        <v>10.33</v>
      </c>
      <c r="AJ109" t="s">
        <v>37</v>
      </c>
      <c r="AK109" t="s">
        <v>571</v>
      </c>
      <c r="AL109" t="s">
        <v>838</v>
      </c>
      <c r="AM109" t="s">
        <v>823</v>
      </c>
      <c r="AN109" s="1">
        <f>IFERROR(VLOOKUP(B109,'KC Salary 2024'!$A$1:$I$36,7, FALSE), "No salary data")</f>
        <v>750000</v>
      </c>
      <c r="AO109" s="1">
        <f t="shared" si="1"/>
        <v>937500</v>
      </c>
    </row>
    <row r="110" spans="1:41" hidden="1" x14ac:dyDescent="0.25">
      <c r="A110" s="19">
        <v>18</v>
      </c>
      <c r="B110" s="19" t="s">
        <v>572</v>
      </c>
      <c r="C110" s="19">
        <v>25</v>
      </c>
      <c r="D110" s="19" t="s">
        <v>37</v>
      </c>
      <c r="E110" s="19">
        <v>-0.2</v>
      </c>
      <c r="F110" s="19">
        <v>0</v>
      </c>
      <c r="G110" s="19">
        <v>0</v>
      </c>
      <c r="H110" s="19"/>
      <c r="I110" s="19">
        <v>7.71</v>
      </c>
      <c r="J110" s="19">
        <v>14</v>
      </c>
      <c r="K110" s="19">
        <v>0</v>
      </c>
      <c r="L110" s="19">
        <v>8</v>
      </c>
      <c r="M110" s="19">
        <v>0</v>
      </c>
      <c r="N110" s="19">
        <v>0</v>
      </c>
      <c r="O110" s="19">
        <v>0</v>
      </c>
      <c r="P110" s="19">
        <v>16.100000000000001</v>
      </c>
      <c r="Q110" s="19">
        <v>23</v>
      </c>
      <c r="R110" s="19">
        <v>14</v>
      </c>
      <c r="S110" s="19">
        <v>14</v>
      </c>
      <c r="T110" s="19">
        <v>3</v>
      </c>
      <c r="U110" s="19">
        <v>11</v>
      </c>
      <c r="V110" s="19">
        <v>0</v>
      </c>
      <c r="W110" s="19">
        <v>9</v>
      </c>
      <c r="X110" s="19">
        <v>1</v>
      </c>
      <c r="Y110" s="19">
        <v>0</v>
      </c>
      <c r="Z110" s="19">
        <v>1</v>
      </c>
      <c r="AA110" s="19">
        <v>84</v>
      </c>
      <c r="AB110" s="19">
        <v>56</v>
      </c>
      <c r="AC110" s="19">
        <v>6.66</v>
      </c>
      <c r="AD110" s="19">
        <v>2.0819999999999999</v>
      </c>
      <c r="AE110" s="19">
        <v>12.7</v>
      </c>
      <c r="AF110" s="19">
        <v>1.7</v>
      </c>
      <c r="AG110" s="19">
        <v>6.1</v>
      </c>
      <c r="AH110" s="19">
        <v>5</v>
      </c>
      <c r="AI110" s="19">
        <v>0.82</v>
      </c>
      <c r="AJ110" s="19" t="s">
        <v>37</v>
      </c>
      <c r="AK110" s="19" t="s">
        <v>573</v>
      </c>
      <c r="AL110" s="19" t="s">
        <v>838</v>
      </c>
      <c r="AM110" s="19" t="s">
        <v>823</v>
      </c>
      <c r="AN110" s="108" t="str">
        <f>IFERROR(VLOOKUP(B110,'KC Salary 2024'!$A$1:$I$36,7, FALSE), "No salary data")</f>
        <v>No salary data</v>
      </c>
      <c r="AO110" s="1" t="e">
        <f t="shared" si="1"/>
        <v>#VALUE!</v>
      </c>
    </row>
    <row r="111" spans="1:41" hidden="1" x14ac:dyDescent="0.25">
      <c r="A111">
        <v>19</v>
      </c>
      <c r="B111" t="s">
        <v>574</v>
      </c>
      <c r="C111">
        <v>33</v>
      </c>
      <c r="D111" t="s">
        <v>37</v>
      </c>
      <c r="E111">
        <v>0</v>
      </c>
      <c r="F111">
        <v>1</v>
      </c>
      <c r="G111">
        <v>0</v>
      </c>
      <c r="H111">
        <v>1</v>
      </c>
      <c r="I111">
        <v>5</v>
      </c>
      <c r="J111">
        <v>9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9</v>
      </c>
      <c r="Q111">
        <v>7</v>
      </c>
      <c r="R111">
        <v>5</v>
      </c>
      <c r="S111">
        <v>5</v>
      </c>
      <c r="T111">
        <v>0</v>
      </c>
      <c r="U111">
        <v>8</v>
      </c>
      <c r="V111">
        <v>0</v>
      </c>
      <c r="W111">
        <v>10</v>
      </c>
      <c r="X111">
        <v>1</v>
      </c>
      <c r="Y111">
        <v>0</v>
      </c>
      <c r="Z111">
        <v>0</v>
      </c>
      <c r="AA111">
        <v>42</v>
      </c>
      <c r="AB111">
        <v>88</v>
      </c>
      <c r="AC111">
        <v>3.94</v>
      </c>
      <c r="AD111">
        <v>1.667</v>
      </c>
      <c r="AE111">
        <v>7</v>
      </c>
      <c r="AF111">
        <v>0</v>
      </c>
      <c r="AG111">
        <v>8</v>
      </c>
      <c r="AH111">
        <v>10</v>
      </c>
      <c r="AI111">
        <v>1.25</v>
      </c>
      <c r="AJ111" t="s">
        <v>37</v>
      </c>
      <c r="AK111" t="s">
        <v>575</v>
      </c>
      <c r="AL111" t="s">
        <v>838</v>
      </c>
      <c r="AM111" t="s">
        <v>823</v>
      </c>
      <c r="AN111" s="1" t="str">
        <f>IFERROR(VLOOKUP(B111,'KC Salary 2024'!$A$1:$I$36,7, FALSE), "No salary data")</f>
        <v>No salary data</v>
      </c>
      <c r="AO111" s="1" t="e">
        <f t="shared" si="1"/>
        <v>#VALUE!</v>
      </c>
    </row>
    <row r="112" spans="1:41" hidden="1" x14ac:dyDescent="0.25">
      <c r="A112" s="19">
        <v>20</v>
      </c>
      <c r="B112" s="19" t="s">
        <v>576</v>
      </c>
      <c r="C112" s="19">
        <v>24</v>
      </c>
      <c r="D112" s="19" t="s">
        <v>37</v>
      </c>
      <c r="E112" s="19">
        <v>-0.1</v>
      </c>
      <c r="F112" s="19">
        <v>1</v>
      </c>
      <c r="G112" s="19">
        <v>0</v>
      </c>
      <c r="H112" s="19">
        <v>1</v>
      </c>
      <c r="I112" s="19">
        <v>6.35</v>
      </c>
      <c r="J112" s="19">
        <v>5</v>
      </c>
      <c r="K112" s="19">
        <v>0</v>
      </c>
      <c r="L112" s="19">
        <v>2</v>
      </c>
      <c r="M112" s="19">
        <v>0</v>
      </c>
      <c r="N112" s="19">
        <v>0</v>
      </c>
      <c r="O112" s="19">
        <v>0</v>
      </c>
      <c r="P112" s="19">
        <v>5.2</v>
      </c>
      <c r="Q112" s="19">
        <v>10</v>
      </c>
      <c r="R112" s="19">
        <v>4</v>
      </c>
      <c r="S112" s="19">
        <v>4</v>
      </c>
      <c r="T112" s="19">
        <v>0</v>
      </c>
      <c r="U112" s="19">
        <v>2</v>
      </c>
      <c r="V112" s="19">
        <v>0</v>
      </c>
      <c r="W112" s="19">
        <v>6</v>
      </c>
      <c r="X112" s="19">
        <v>0</v>
      </c>
      <c r="Y112" s="19">
        <v>0</v>
      </c>
      <c r="Z112" s="19">
        <v>0</v>
      </c>
      <c r="AA112" s="19">
        <v>27</v>
      </c>
      <c r="AB112" s="19">
        <v>71</v>
      </c>
      <c r="AC112" s="19">
        <v>2.11</v>
      </c>
      <c r="AD112" s="19">
        <v>2.1179999999999999</v>
      </c>
      <c r="AE112" s="19">
        <v>15.9</v>
      </c>
      <c r="AF112" s="19">
        <v>0</v>
      </c>
      <c r="AG112" s="19">
        <v>3.2</v>
      </c>
      <c r="AH112" s="19">
        <v>9.5</v>
      </c>
      <c r="AI112" s="19">
        <v>3</v>
      </c>
      <c r="AJ112" s="19" t="s">
        <v>37</v>
      </c>
      <c r="AK112" s="19" t="s">
        <v>577</v>
      </c>
      <c r="AL112" s="19" t="s">
        <v>838</v>
      </c>
      <c r="AM112" s="19" t="s">
        <v>823</v>
      </c>
      <c r="AN112" s="108" t="str">
        <f>IFERROR(VLOOKUP(B112,'KC Salary 2024'!$A$1:$I$36,7, FALSE), "No salary data")</f>
        <v>No salary data</v>
      </c>
      <c r="AO112" s="1" t="e">
        <f t="shared" si="1"/>
        <v>#VALUE!</v>
      </c>
    </row>
    <row r="113" spans="1:41" x14ac:dyDescent="0.25">
      <c r="A113">
        <v>21</v>
      </c>
      <c r="B113" t="s">
        <v>540</v>
      </c>
      <c r="C113">
        <v>29</v>
      </c>
      <c r="D113" t="s">
        <v>37</v>
      </c>
      <c r="E113">
        <v>-0.2</v>
      </c>
      <c r="F113">
        <v>0</v>
      </c>
      <c r="G113">
        <v>0</v>
      </c>
      <c r="I113">
        <v>6.35</v>
      </c>
      <c r="J113">
        <v>6</v>
      </c>
      <c r="K113">
        <v>0</v>
      </c>
      <c r="L113">
        <v>1</v>
      </c>
      <c r="M113">
        <v>0</v>
      </c>
      <c r="N113">
        <v>0</v>
      </c>
      <c r="O113">
        <v>1</v>
      </c>
      <c r="P113">
        <v>5.2</v>
      </c>
      <c r="Q113">
        <v>8</v>
      </c>
      <c r="R113">
        <v>4</v>
      </c>
      <c r="S113">
        <v>4</v>
      </c>
      <c r="T113">
        <v>1</v>
      </c>
      <c r="U113">
        <v>4</v>
      </c>
      <c r="V113">
        <v>1</v>
      </c>
      <c r="W113">
        <v>5</v>
      </c>
      <c r="X113">
        <v>1</v>
      </c>
      <c r="Y113">
        <v>0</v>
      </c>
      <c r="Z113">
        <v>0</v>
      </c>
      <c r="AA113">
        <v>29</v>
      </c>
      <c r="AB113">
        <v>71</v>
      </c>
      <c r="AC113">
        <v>6.34</v>
      </c>
      <c r="AD113">
        <v>2.1179999999999999</v>
      </c>
      <c r="AE113">
        <v>12.7</v>
      </c>
      <c r="AF113">
        <v>1.6</v>
      </c>
      <c r="AG113">
        <v>6.4</v>
      </c>
      <c r="AH113">
        <v>7.9</v>
      </c>
      <c r="AI113">
        <v>1.25</v>
      </c>
      <c r="AJ113" t="s">
        <v>37</v>
      </c>
      <c r="AK113" t="s">
        <v>541</v>
      </c>
      <c r="AL113" t="s">
        <v>838</v>
      </c>
      <c r="AM113" t="s">
        <v>823</v>
      </c>
      <c r="AN113" s="1">
        <f>IFERROR(VLOOKUP(B113,'KC Salary 2024'!$A$1:$I$36,7, FALSE), "No salary data")</f>
        <v>962500</v>
      </c>
      <c r="AO113" s="1">
        <f t="shared" si="1"/>
        <v>-4812500</v>
      </c>
    </row>
    <row r="114" spans="1:41" hidden="1" x14ac:dyDescent="0.25">
      <c r="A114" s="19">
        <v>22</v>
      </c>
      <c r="B114" s="19" t="s">
        <v>578</v>
      </c>
      <c r="C114" s="19">
        <v>25</v>
      </c>
      <c r="D114" s="19" t="s">
        <v>37</v>
      </c>
      <c r="E114" s="19">
        <v>0.2</v>
      </c>
      <c r="F114" s="19">
        <v>0</v>
      </c>
      <c r="G114" s="19">
        <v>0</v>
      </c>
      <c r="H114" s="19"/>
      <c r="I114" s="19">
        <v>0</v>
      </c>
      <c r="J114" s="19">
        <v>5</v>
      </c>
      <c r="K114" s="19">
        <v>0</v>
      </c>
      <c r="L114" s="19">
        <v>3</v>
      </c>
      <c r="M114" s="19">
        <v>0</v>
      </c>
      <c r="N114" s="19">
        <v>0</v>
      </c>
      <c r="O114" s="19">
        <v>0</v>
      </c>
      <c r="P114" s="19">
        <v>5.2</v>
      </c>
      <c r="Q114" s="19">
        <v>1</v>
      </c>
      <c r="R114" s="19">
        <v>0</v>
      </c>
      <c r="S114" s="19">
        <v>0</v>
      </c>
      <c r="T114" s="19">
        <v>0</v>
      </c>
      <c r="U114" s="19">
        <v>0</v>
      </c>
      <c r="V114" s="19">
        <v>0</v>
      </c>
      <c r="W114" s="19">
        <v>4</v>
      </c>
      <c r="X114" s="19">
        <v>0</v>
      </c>
      <c r="Y114" s="19">
        <v>0</v>
      </c>
      <c r="Z114" s="19">
        <v>1</v>
      </c>
      <c r="AA114" s="19">
        <v>18</v>
      </c>
      <c r="AB114" s="19"/>
      <c r="AC114" s="19">
        <v>1.75</v>
      </c>
      <c r="AD114" s="19">
        <v>0.17599999999999999</v>
      </c>
      <c r="AE114" s="19">
        <v>1.6</v>
      </c>
      <c r="AF114" s="19">
        <v>0</v>
      </c>
      <c r="AG114" s="19">
        <v>0</v>
      </c>
      <c r="AH114" s="19">
        <v>6.4</v>
      </c>
      <c r="AI114" s="19"/>
      <c r="AJ114" s="19" t="s">
        <v>37</v>
      </c>
      <c r="AK114" s="19" t="s">
        <v>579</v>
      </c>
      <c r="AL114" s="19" t="s">
        <v>838</v>
      </c>
      <c r="AM114" s="19" t="s">
        <v>823</v>
      </c>
      <c r="AN114" s="108" t="str">
        <f>IFERROR(VLOOKUP(B114,'KC Salary 2024'!$A$1:$I$36,7, FALSE), "No salary data")</f>
        <v>No salary data</v>
      </c>
      <c r="AO114" s="1" t="e">
        <f t="shared" si="1"/>
        <v>#VALUE!</v>
      </c>
    </row>
    <row r="115" spans="1:41" hidden="1" x14ac:dyDescent="0.25">
      <c r="A115">
        <v>23</v>
      </c>
      <c r="B115" t="s">
        <v>580</v>
      </c>
      <c r="C115">
        <v>33</v>
      </c>
      <c r="D115" t="s">
        <v>37</v>
      </c>
      <c r="E115">
        <v>0.2</v>
      </c>
      <c r="F115">
        <v>0</v>
      </c>
      <c r="G115">
        <v>0</v>
      </c>
      <c r="I115">
        <v>0</v>
      </c>
      <c r="J115">
        <v>5</v>
      </c>
      <c r="K115">
        <v>0</v>
      </c>
      <c r="L115">
        <v>3</v>
      </c>
      <c r="M115">
        <v>0</v>
      </c>
      <c r="N115">
        <v>0</v>
      </c>
      <c r="O115">
        <v>0</v>
      </c>
      <c r="P115">
        <v>5</v>
      </c>
      <c r="Q115">
        <v>2</v>
      </c>
      <c r="R115">
        <v>0</v>
      </c>
      <c r="S115">
        <v>0</v>
      </c>
      <c r="T115">
        <v>0</v>
      </c>
      <c r="U115">
        <v>2</v>
      </c>
      <c r="V115">
        <v>0</v>
      </c>
      <c r="W115">
        <v>3</v>
      </c>
      <c r="X115">
        <v>0</v>
      </c>
      <c r="Y115">
        <v>0</v>
      </c>
      <c r="Z115">
        <v>0</v>
      </c>
      <c r="AA115">
        <v>19</v>
      </c>
      <c r="AC115">
        <v>3.17</v>
      </c>
      <c r="AD115">
        <v>0.8</v>
      </c>
      <c r="AE115">
        <v>3.6</v>
      </c>
      <c r="AF115">
        <v>0</v>
      </c>
      <c r="AG115">
        <v>3.6</v>
      </c>
      <c r="AH115">
        <v>5.4</v>
      </c>
      <c r="AI115">
        <v>1.5</v>
      </c>
      <c r="AJ115" t="s">
        <v>37</v>
      </c>
      <c r="AK115" t="s">
        <v>581</v>
      </c>
      <c r="AL115" t="s">
        <v>838</v>
      </c>
      <c r="AM115" t="s">
        <v>823</v>
      </c>
      <c r="AN115" s="1" t="str">
        <f>IFERROR(VLOOKUP(B115,'KC Salary 2024'!$A$1:$I$36,7, FALSE), "No salary data")</f>
        <v>No salary data</v>
      </c>
      <c r="AO115" s="1" t="e">
        <f t="shared" si="1"/>
        <v>#VALUE!</v>
      </c>
    </row>
    <row r="116" spans="1:41" hidden="1" x14ac:dyDescent="0.25">
      <c r="A116" s="19">
        <v>24</v>
      </c>
      <c r="B116" s="19" t="s">
        <v>582</v>
      </c>
      <c r="C116" s="19">
        <v>31</v>
      </c>
      <c r="D116" s="19" t="s">
        <v>37</v>
      </c>
      <c r="E116" s="19">
        <v>-0.3</v>
      </c>
      <c r="F116" s="19">
        <v>0</v>
      </c>
      <c r="G116" s="19">
        <v>1</v>
      </c>
      <c r="H116" s="19">
        <v>0</v>
      </c>
      <c r="I116" s="19">
        <v>14.73</v>
      </c>
      <c r="J116" s="19">
        <v>5</v>
      </c>
      <c r="K116" s="19">
        <v>1</v>
      </c>
      <c r="L116" s="19">
        <v>0</v>
      </c>
      <c r="M116" s="19">
        <v>0</v>
      </c>
      <c r="N116" s="19">
        <v>0</v>
      </c>
      <c r="O116" s="19">
        <v>0</v>
      </c>
      <c r="P116" s="19">
        <v>3.2</v>
      </c>
      <c r="Q116" s="19">
        <v>5</v>
      </c>
      <c r="R116" s="19">
        <v>6</v>
      </c>
      <c r="S116" s="19">
        <v>6</v>
      </c>
      <c r="T116" s="19">
        <v>1</v>
      </c>
      <c r="U116" s="19">
        <v>3</v>
      </c>
      <c r="V116" s="19">
        <v>0</v>
      </c>
      <c r="W116" s="19">
        <v>5</v>
      </c>
      <c r="X116" s="19">
        <v>1</v>
      </c>
      <c r="Y116" s="19">
        <v>0</v>
      </c>
      <c r="Z116" s="19">
        <v>0</v>
      </c>
      <c r="AA116" s="19">
        <v>21</v>
      </c>
      <c r="AB116" s="19">
        <v>32</v>
      </c>
      <c r="AC116" s="19">
        <v>7.26</v>
      </c>
      <c r="AD116" s="19">
        <v>2.1819999999999999</v>
      </c>
      <c r="AE116" s="19">
        <v>12.3</v>
      </c>
      <c r="AF116" s="19">
        <v>2.5</v>
      </c>
      <c r="AG116" s="19">
        <v>7.4</v>
      </c>
      <c r="AH116" s="19">
        <v>12.3</v>
      </c>
      <c r="AI116" s="19">
        <v>1.67</v>
      </c>
      <c r="AJ116" s="19" t="s">
        <v>37</v>
      </c>
      <c r="AK116" s="19" t="s">
        <v>583</v>
      </c>
      <c r="AL116" s="19" t="s">
        <v>838</v>
      </c>
      <c r="AM116" s="19" t="s">
        <v>823</v>
      </c>
      <c r="AN116" s="108" t="str">
        <f>IFERROR(VLOOKUP(B116,'KC Salary 2024'!$A$1:$I$36,7, FALSE), "No salary data")</f>
        <v>No salary data</v>
      </c>
      <c r="AO116" s="1" t="e">
        <f t="shared" si="1"/>
        <v>#VALUE!</v>
      </c>
    </row>
    <row r="117" spans="1:41" hidden="1" x14ac:dyDescent="0.25">
      <c r="A117">
        <v>25</v>
      </c>
      <c r="B117" t="s">
        <v>584</v>
      </c>
      <c r="C117">
        <v>26</v>
      </c>
      <c r="D117" t="s">
        <v>37</v>
      </c>
      <c r="E117">
        <v>-0.1</v>
      </c>
      <c r="F117">
        <v>0</v>
      </c>
      <c r="G117">
        <v>0</v>
      </c>
      <c r="I117">
        <v>6</v>
      </c>
      <c r="J117">
        <v>2</v>
      </c>
      <c r="K117">
        <v>0</v>
      </c>
      <c r="L117">
        <v>1</v>
      </c>
      <c r="M117">
        <v>0</v>
      </c>
      <c r="N117">
        <v>0</v>
      </c>
      <c r="O117">
        <v>0</v>
      </c>
      <c r="P117">
        <v>3</v>
      </c>
      <c r="Q117">
        <v>2</v>
      </c>
      <c r="R117">
        <v>3</v>
      </c>
      <c r="S117">
        <v>2</v>
      </c>
      <c r="T117">
        <v>0</v>
      </c>
      <c r="U117">
        <v>2</v>
      </c>
      <c r="V117">
        <v>0</v>
      </c>
      <c r="W117">
        <v>0</v>
      </c>
      <c r="X117">
        <v>0</v>
      </c>
      <c r="Y117">
        <v>0</v>
      </c>
      <c r="Z117">
        <v>1</v>
      </c>
      <c r="AA117">
        <v>13</v>
      </c>
      <c r="AB117">
        <v>79</v>
      </c>
      <c r="AC117">
        <v>5.17</v>
      </c>
      <c r="AD117">
        <v>1.333</v>
      </c>
      <c r="AE117">
        <v>6</v>
      </c>
      <c r="AF117">
        <v>0</v>
      </c>
      <c r="AG117">
        <v>6</v>
      </c>
      <c r="AH117">
        <v>0</v>
      </c>
      <c r="AI117">
        <v>0</v>
      </c>
      <c r="AJ117" t="s">
        <v>37</v>
      </c>
      <c r="AK117" t="s">
        <v>585</v>
      </c>
      <c r="AL117" t="s">
        <v>838</v>
      </c>
      <c r="AM117" t="s">
        <v>823</v>
      </c>
      <c r="AN117" s="1" t="str">
        <f>IFERROR(VLOOKUP(B117,'KC Salary 2024'!$A$1:$I$36,7, FALSE), "No salary data")</f>
        <v>No salary data</v>
      </c>
      <c r="AO117" s="1" t="e">
        <f t="shared" si="1"/>
        <v>#VALUE!</v>
      </c>
    </row>
    <row r="118" spans="1:41" hidden="1" x14ac:dyDescent="0.25">
      <c r="A118" s="19">
        <v>26</v>
      </c>
      <c r="B118" s="19" t="s">
        <v>586</v>
      </c>
      <c r="C118" s="19">
        <v>27</v>
      </c>
      <c r="D118" s="19" t="s">
        <v>37</v>
      </c>
      <c r="E118" s="19">
        <v>-0.2</v>
      </c>
      <c r="F118" s="19">
        <v>0</v>
      </c>
      <c r="G118" s="19">
        <v>1</v>
      </c>
      <c r="H118" s="19">
        <v>0</v>
      </c>
      <c r="I118" s="19">
        <v>13.5</v>
      </c>
      <c r="J118" s="19">
        <v>1</v>
      </c>
      <c r="K118" s="19">
        <v>1</v>
      </c>
      <c r="L118" s="19">
        <v>0</v>
      </c>
      <c r="M118" s="19">
        <v>0</v>
      </c>
      <c r="N118" s="19">
        <v>0</v>
      </c>
      <c r="O118" s="19">
        <v>0</v>
      </c>
      <c r="P118" s="19">
        <v>2.2000000000000002</v>
      </c>
      <c r="Q118" s="19">
        <v>6</v>
      </c>
      <c r="R118" s="19">
        <v>4</v>
      </c>
      <c r="S118" s="19">
        <v>4</v>
      </c>
      <c r="T118" s="19">
        <v>3</v>
      </c>
      <c r="U118" s="19">
        <v>3</v>
      </c>
      <c r="V118" s="19">
        <v>0</v>
      </c>
      <c r="W118" s="19">
        <v>3</v>
      </c>
      <c r="X118" s="19">
        <v>0</v>
      </c>
      <c r="Y118" s="19">
        <v>0</v>
      </c>
      <c r="Z118" s="19">
        <v>0</v>
      </c>
      <c r="AA118" s="19">
        <v>17</v>
      </c>
      <c r="AB118" s="19">
        <v>36</v>
      </c>
      <c r="AC118" s="19">
        <v>18.920000000000002</v>
      </c>
      <c r="AD118" s="19">
        <v>3.375</v>
      </c>
      <c r="AE118" s="19">
        <v>20.3</v>
      </c>
      <c r="AF118" s="19">
        <v>10.1</v>
      </c>
      <c r="AG118" s="19">
        <v>10.1</v>
      </c>
      <c r="AH118" s="19">
        <v>10.1</v>
      </c>
      <c r="AI118" s="19">
        <v>1</v>
      </c>
      <c r="AJ118" s="19" t="s">
        <v>37</v>
      </c>
      <c r="AK118" s="19" t="s">
        <v>587</v>
      </c>
      <c r="AL118" s="19" t="s">
        <v>838</v>
      </c>
      <c r="AM118" s="19" t="s">
        <v>823</v>
      </c>
      <c r="AN118" s="108" t="str">
        <f>IFERROR(VLOOKUP(B118,'KC Salary 2024'!$A$1:$I$36,7, FALSE), "No salary data")</f>
        <v>No salary data</v>
      </c>
      <c r="AO118" s="1" t="e">
        <f t="shared" si="1"/>
        <v>#VALUE!</v>
      </c>
    </row>
    <row r="119" spans="1:41" hidden="1" x14ac:dyDescent="0.25">
      <c r="A119">
        <v>27</v>
      </c>
      <c r="B119" t="s">
        <v>588</v>
      </c>
      <c r="C119">
        <v>26</v>
      </c>
      <c r="D119" t="s">
        <v>37</v>
      </c>
      <c r="E119">
        <v>0</v>
      </c>
      <c r="F119">
        <v>0</v>
      </c>
      <c r="G119">
        <v>0</v>
      </c>
      <c r="I119">
        <v>4.5</v>
      </c>
      <c r="J119">
        <v>2</v>
      </c>
      <c r="K119">
        <v>0</v>
      </c>
      <c r="L119">
        <v>1</v>
      </c>
      <c r="M119">
        <v>0</v>
      </c>
      <c r="N119">
        <v>0</v>
      </c>
      <c r="O119">
        <v>0</v>
      </c>
      <c r="P119">
        <v>2</v>
      </c>
      <c r="Q119">
        <v>4</v>
      </c>
      <c r="R119">
        <v>2</v>
      </c>
      <c r="S119">
        <v>1</v>
      </c>
      <c r="T119">
        <v>0</v>
      </c>
      <c r="U119">
        <v>1</v>
      </c>
      <c r="V119">
        <v>0</v>
      </c>
      <c r="W119">
        <v>2</v>
      </c>
      <c r="X119">
        <v>0</v>
      </c>
      <c r="Y119">
        <v>0</v>
      </c>
      <c r="Z119">
        <v>0</v>
      </c>
      <c r="AA119">
        <v>11</v>
      </c>
      <c r="AB119">
        <v>111</v>
      </c>
      <c r="AC119">
        <v>2.67</v>
      </c>
      <c r="AD119">
        <v>2.5</v>
      </c>
      <c r="AE119">
        <v>18</v>
      </c>
      <c r="AF119">
        <v>0</v>
      </c>
      <c r="AG119">
        <v>4.5</v>
      </c>
      <c r="AH119">
        <v>9</v>
      </c>
      <c r="AI119">
        <v>2</v>
      </c>
      <c r="AJ119" t="s">
        <v>37</v>
      </c>
      <c r="AK119" t="s">
        <v>589</v>
      </c>
      <c r="AL119" t="s">
        <v>838</v>
      </c>
      <c r="AM119" t="s">
        <v>823</v>
      </c>
      <c r="AN119" s="1" t="str">
        <f>IFERROR(VLOOKUP(B119,'KC Salary 2024'!$A$1:$I$36,7, FALSE), "No salary data")</f>
        <v>No salary data</v>
      </c>
      <c r="AO119" s="1" t="e">
        <f t="shared" si="1"/>
        <v>#VALUE!</v>
      </c>
    </row>
    <row r="120" spans="1:41" x14ac:dyDescent="0.25">
      <c r="A120" s="19">
        <v>28</v>
      </c>
      <c r="B120" s="19" t="s">
        <v>513</v>
      </c>
      <c r="C120" s="19">
        <v>29</v>
      </c>
      <c r="D120" s="19" t="s">
        <v>37</v>
      </c>
      <c r="E120" s="19">
        <v>0</v>
      </c>
      <c r="F120" s="19">
        <v>0</v>
      </c>
      <c r="G120" s="19">
        <v>0</v>
      </c>
      <c r="H120" s="19"/>
      <c r="I120" s="19">
        <v>0</v>
      </c>
      <c r="J120" s="19">
        <v>1</v>
      </c>
      <c r="K120" s="19">
        <v>0</v>
      </c>
      <c r="L120" s="19">
        <v>1</v>
      </c>
      <c r="M120" s="19">
        <v>0</v>
      </c>
      <c r="N120" s="19">
        <v>0</v>
      </c>
      <c r="O120" s="19">
        <v>0</v>
      </c>
      <c r="P120" s="19">
        <v>1</v>
      </c>
      <c r="Q120" s="19">
        <v>0</v>
      </c>
      <c r="R120" s="19">
        <v>0</v>
      </c>
      <c r="S120" s="19">
        <v>0</v>
      </c>
      <c r="T120" s="19">
        <v>0</v>
      </c>
      <c r="U120" s="19">
        <v>0</v>
      </c>
      <c r="V120" s="19">
        <v>0</v>
      </c>
      <c r="W120" s="19">
        <v>0</v>
      </c>
      <c r="X120" s="19">
        <v>1</v>
      </c>
      <c r="Y120" s="19">
        <v>0</v>
      </c>
      <c r="Z120" s="19">
        <v>0</v>
      </c>
      <c r="AA120" s="19">
        <v>4</v>
      </c>
      <c r="AB120" s="19"/>
      <c r="AC120" s="19">
        <v>6.17</v>
      </c>
      <c r="AD120" s="19">
        <v>0</v>
      </c>
      <c r="AE120" s="19">
        <v>0</v>
      </c>
      <c r="AF120" s="19">
        <v>0</v>
      </c>
      <c r="AG120" s="19">
        <v>0</v>
      </c>
      <c r="AH120" s="19">
        <v>0</v>
      </c>
      <c r="AI120" s="19"/>
      <c r="AJ120" s="19" t="s">
        <v>37</v>
      </c>
      <c r="AK120" s="19" t="s">
        <v>515</v>
      </c>
      <c r="AL120" s="19" t="s">
        <v>838</v>
      </c>
      <c r="AM120" s="19" t="s">
        <v>823</v>
      </c>
      <c r="AN120" s="108">
        <f>IFERROR(VLOOKUP(B120,'KC Salary 2024'!$A$1:$I$36,7, FALSE), "No salary data")</f>
        <v>2000000</v>
      </c>
      <c r="AO120" s="1" t="e">
        <f t="shared" si="1"/>
        <v>#DIV/0!</v>
      </c>
    </row>
    <row r="121" spans="1:41" hidden="1" x14ac:dyDescent="0.25">
      <c r="A121">
        <v>29</v>
      </c>
      <c r="B121" t="s">
        <v>590</v>
      </c>
      <c r="C121">
        <v>25</v>
      </c>
      <c r="D121" t="s">
        <v>37</v>
      </c>
      <c r="E121">
        <v>0</v>
      </c>
      <c r="F121">
        <v>0</v>
      </c>
      <c r="G121">
        <v>0</v>
      </c>
      <c r="I121">
        <v>0</v>
      </c>
      <c r="J121">
        <v>1</v>
      </c>
      <c r="K121">
        <v>0</v>
      </c>
      <c r="L121">
        <v>1</v>
      </c>
      <c r="M121">
        <v>0</v>
      </c>
      <c r="N121">
        <v>0</v>
      </c>
      <c r="O121">
        <v>0</v>
      </c>
      <c r="P121">
        <v>1</v>
      </c>
      <c r="Q121">
        <v>1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1</v>
      </c>
      <c r="X121">
        <v>0</v>
      </c>
      <c r="Y121">
        <v>0</v>
      </c>
      <c r="Z121">
        <v>1</v>
      </c>
      <c r="AA121">
        <v>4</v>
      </c>
      <c r="AC121">
        <v>1.17</v>
      </c>
      <c r="AD121">
        <v>1</v>
      </c>
      <c r="AE121">
        <v>9</v>
      </c>
      <c r="AF121">
        <v>0</v>
      </c>
      <c r="AG121">
        <v>0</v>
      </c>
      <c r="AH121">
        <v>9</v>
      </c>
      <c r="AJ121" t="s">
        <v>37</v>
      </c>
      <c r="AK121" t="s">
        <v>591</v>
      </c>
      <c r="AL121" t="s">
        <v>838</v>
      </c>
      <c r="AM121" t="s">
        <v>823</v>
      </c>
      <c r="AN121" s="1" t="str">
        <f>IFERROR(VLOOKUP(B121,'KC Salary 2024'!$A$1:$I$36,7, FALSE), "No salary data")</f>
        <v>No salary data</v>
      </c>
      <c r="AO121" s="1" t="e">
        <f t="shared" si="1"/>
        <v>#VALUE!</v>
      </c>
    </row>
    <row r="122" spans="1:41" hidden="1" x14ac:dyDescent="0.25">
      <c r="A122" s="19">
        <v>30</v>
      </c>
      <c r="B122" s="19" t="s">
        <v>516</v>
      </c>
      <c r="C122" s="19">
        <v>25</v>
      </c>
      <c r="D122" s="19" t="s">
        <v>37</v>
      </c>
      <c r="E122" s="19">
        <v>0</v>
      </c>
      <c r="F122" s="19">
        <v>0</v>
      </c>
      <c r="G122" s="19">
        <v>0</v>
      </c>
      <c r="H122" s="19"/>
      <c r="I122" s="19">
        <v>0</v>
      </c>
      <c r="J122" s="19">
        <v>1</v>
      </c>
      <c r="K122" s="19">
        <v>0</v>
      </c>
      <c r="L122" s="19">
        <v>1</v>
      </c>
      <c r="M122" s="19">
        <v>0</v>
      </c>
      <c r="N122" s="19">
        <v>0</v>
      </c>
      <c r="O122" s="19">
        <v>0</v>
      </c>
      <c r="P122" s="19">
        <v>1</v>
      </c>
      <c r="Q122" s="19">
        <v>1</v>
      </c>
      <c r="R122" s="19">
        <v>0</v>
      </c>
      <c r="S122" s="19">
        <v>0</v>
      </c>
      <c r="T122" s="19">
        <v>0</v>
      </c>
      <c r="U122" s="19">
        <v>0</v>
      </c>
      <c r="V122" s="19">
        <v>0</v>
      </c>
      <c r="W122" s="19">
        <v>0</v>
      </c>
      <c r="X122" s="19">
        <v>0</v>
      </c>
      <c r="Y122" s="19">
        <v>0</v>
      </c>
      <c r="Z122" s="19">
        <v>0</v>
      </c>
      <c r="AA122" s="19">
        <v>3</v>
      </c>
      <c r="AB122" s="19"/>
      <c r="AC122" s="19">
        <v>3.17</v>
      </c>
      <c r="AD122" s="19">
        <v>1</v>
      </c>
      <c r="AE122" s="19">
        <v>9</v>
      </c>
      <c r="AF122" s="19">
        <v>0</v>
      </c>
      <c r="AG122" s="19">
        <v>0</v>
      </c>
      <c r="AH122" s="19">
        <v>0</v>
      </c>
      <c r="AI122" s="19"/>
      <c r="AJ122" s="19" t="s">
        <v>37</v>
      </c>
      <c r="AK122" s="19" t="s">
        <v>518</v>
      </c>
      <c r="AL122" s="19" t="s">
        <v>838</v>
      </c>
      <c r="AM122" s="19" t="s">
        <v>823</v>
      </c>
      <c r="AN122" s="108" t="str">
        <f>IFERROR(VLOOKUP(B122,'KC Salary 2024'!$A$1:$I$36,7, FALSE), "No salary data")</f>
        <v>No salary data</v>
      </c>
      <c r="AO122" s="1" t="e">
        <f t="shared" si="1"/>
        <v>#VALUE!</v>
      </c>
    </row>
    <row r="123" spans="1:41" hidden="1" x14ac:dyDescent="0.25">
      <c r="A123">
        <v>31</v>
      </c>
      <c r="B123" t="s">
        <v>592</v>
      </c>
      <c r="C123">
        <v>26</v>
      </c>
      <c r="D123" t="s">
        <v>37</v>
      </c>
      <c r="E123">
        <v>0</v>
      </c>
      <c r="F123">
        <v>0</v>
      </c>
      <c r="G123">
        <v>0</v>
      </c>
      <c r="I123">
        <v>0</v>
      </c>
      <c r="J123">
        <v>1</v>
      </c>
      <c r="K123">
        <v>0</v>
      </c>
      <c r="L123">
        <v>1</v>
      </c>
      <c r="M123">
        <v>0</v>
      </c>
      <c r="N123">
        <v>0</v>
      </c>
      <c r="O123">
        <v>0</v>
      </c>
      <c r="P123">
        <v>0.2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1</v>
      </c>
      <c r="X123">
        <v>0</v>
      </c>
      <c r="Y123">
        <v>0</v>
      </c>
      <c r="Z123">
        <v>0</v>
      </c>
      <c r="AA123">
        <v>2</v>
      </c>
      <c r="AC123">
        <v>0.17</v>
      </c>
      <c r="AD123">
        <v>0</v>
      </c>
      <c r="AE123">
        <v>0</v>
      </c>
      <c r="AF123">
        <v>0</v>
      </c>
      <c r="AG123">
        <v>0</v>
      </c>
      <c r="AH123">
        <v>13.5</v>
      </c>
      <c r="AJ123" t="s">
        <v>37</v>
      </c>
      <c r="AK123" t="s">
        <v>593</v>
      </c>
      <c r="AL123" t="s">
        <v>838</v>
      </c>
      <c r="AM123" t="s">
        <v>823</v>
      </c>
      <c r="AN123" s="1" t="str">
        <f>IFERROR(VLOOKUP(B123,'KC Salary 2024'!$A$1:$I$36,7, FALSE), "No salary data")</f>
        <v>No salary data</v>
      </c>
      <c r="AO123" s="1" t="e">
        <f t="shared" si="1"/>
        <v>#VALUE!</v>
      </c>
    </row>
    <row r="124" spans="1:41" x14ac:dyDescent="0.25">
      <c r="A124" s="19">
        <v>1</v>
      </c>
      <c r="B124" s="19" t="s">
        <v>657</v>
      </c>
      <c r="C124" s="19">
        <v>28</v>
      </c>
      <c r="D124" s="19" t="s">
        <v>160</v>
      </c>
      <c r="E124" s="19">
        <v>2.5</v>
      </c>
      <c r="F124" s="19">
        <v>15</v>
      </c>
      <c r="G124" s="19">
        <v>10</v>
      </c>
      <c r="H124" s="19">
        <v>0.6</v>
      </c>
      <c r="I124" s="19">
        <v>4.08</v>
      </c>
      <c r="J124" s="19">
        <v>32</v>
      </c>
      <c r="K124" s="19">
        <v>32</v>
      </c>
      <c r="L124" s="19">
        <v>0</v>
      </c>
      <c r="M124" s="19">
        <v>0</v>
      </c>
      <c r="N124" s="19">
        <v>0</v>
      </c>
      <c r="O124" s="19">
        <v>0</v>
      </c>
      <c r="P124" s="19">
        <v>185.1</v>
      </c>
      <c r="Q124" s="19">
        <v>180</v>
      </c>
      <c r="R124" s="19">
        <v>90</v>
      </c>
      <c r="S124" s="19">
        <v>84</v>
      </c>
      <c r="T124" s="19">
        <v>26</v>
      </c>
      <c r="U124" s="19">
        <v>41</v>
      </c>
      <c r="V124" s="19">
        <v>0</v>
      </c>
      <c r="W124" s="19">
        <v>198</v>
      </c>
      <c r="X124" s="19">
        <v>8</v>
      </c>
      <c r="Y124" s="19">
        <v>0</v>
      </c>
      <c r="Z124" s="19">
        <v>3</v>
      </c>
      <c r="AA124" s="19">
        <v>772</v>
      </c>
      <c r="AB124" s="19">
        <v>102</v>
      </c>
      <c r="AC124" s="19">
        <v>3.65</v>
      </c>
      <c r="AD124" s="19">
        <v>1.1919999999999999</v>
      </c>
      <c r="AE124" s="19">
        <v>8.6999999999999993</v>
      </c>
      <c r="AF124" s="19">
        <v>1.3</v>
      </c>
      <c r="AG124" s="19">
        <v>2</v>
      </c>
      <c r="AH124" s="19">
        <v>9.6</v>
      </c>
      <c r="AI124" s="19">
        <v>4.83</v>
      </c>
      <c r="AJ124" s="19" t="s">
        <v>37</v>
      </c>
      <c r="AK124" s="19" t="s">
        <v>658</v>
      </c>
      <c r="AL124" s="19" t="s">
        <v>838</v>
      </c>
      <c r="AM124" s="19" t="s">
        <v>824</v>
      </c>
      <c r="AN124" s="108">
        <f>IFERROR(VLOOKUP(B125,'MIN Salary 2024'!$A$1:$I$40,7,FALSE),"No salary data")</f>
        <v>1142935</v>
      </c>
      <c r="AO124" s="1">
        <f t="shared" si="1"/>
        <v>457174</v>
      </c>
    </row>
    <row r="125" spans="1:41" x14ac:dyDescent="0.25">
      <c r="A125">
        <v>2</v>
      </c>
      <c r="B125" t="s">
        <v>659</v>
      </c>
      <c r="C125">
        <v>28</v>
      </c>
      <c r="D125" t="s">
        <v>160</v>
      </c>
      <c r="E125">
        <v>2.9</v>
      </c>
      <c r="F125">
        <v>12</v>
      </c>
      <c r="G125">
        <v>9</v>
      </c>
      <c r="H125">
        <v>0.57099999999999995</v>
      </c>
      <c r="I125">
        <v>3.98</v>
      </c>
      <c r="J125">
        <v>31</v>
      </c>
      <c r="K125">
        <v>31</v>
      </c>
      <c r="L125">
        <v>0</v>
      </c>
      <c r="M125">
        <v>1</v>
      </c>
      <c r="N125">
        <v>0</v>
      </c>
      <c r="O125">
        <v>0</v>
      </c>
      <c r="P125">
        <v>178.2</v>
      </c>
      <c r="Q125">
        <v>136</v>
      </c>
      <c r="R125">
        <v>81</v>
      </c>
      <c r="S125">
        <v>79</v>
      </c>
      <c r="T125">
        <v>27</v>
      </c>
      <c r="U125">
        <v>43</v>
      </c>
      <c r="V125">
        <v>0</v>
      </c>
      <c r="W125">
        <v>191</v>
      </c>
      <c r="X125">
        <v>6</v>
      </c>
      <c r="Y125">
        <v>0</v>
      </c>
      <c r="Z125">
        <v>1</v>
      </c>
      <c r="AA125">
        <v>709</v>
      </c>
      <c r="AB125">
        <v>104</v>
      </c>
      <c r="AC125">
        <v>3.82</v>
      </c>
      <c r="AD125">
        <v>1.002</v>
      </c>
      <c r="AE125">
        <v>6.9</v>
      </c>
      <c r="AF125">
        <v>1.4</v>
      </c>
      <c r="AG125">
        <v>2.2000000000000002</v>
      </c>
      <c r="AH125">
        <v>9.6</v>
      </c>
      <c r="AI125">
        <v>4.4400000000000004</v>
      </c>
      <c r="AJ125" t="s">
        <v>37</v>
      </c>
      <c r="AK125" t="s">
        <v>660</v>
      </c>
      <c r="AL125" t="s">
        <v>838</v>
      </c>
      <c r="AM125" t="s">
        <v>824</v>
      </c>
      <c r="AN125" s="1">
        <f>IFERROR(VLOOKUP(B126,'MIN Salary 2024'!$A$1:$I$40,7,FALSE),"No salary data")</f>
        <v>1089904</v>
      </c>
      <c r="AO125" s="1">
        <f t="shared" si="1"/>
        <v>375828.96551724139</v>
      </c>
    </row>
    <row r="126" spans="1:41" hidden="1" x14ac:dyDescent="0.25">
      <c r="A126" s="19">
        <v>3</v>
      </c>
      <c r="B126" s="19" t="s">
        <v>661</v>
      </c>
      <c r="C126" s="19">
        <v>28</v>
      </c>
      <c r="D126" s="19" t="s">
        <v>160</v>
      </c>
      <c r="E126" s="19">
        <v>2.2999999999999998</v>
      </c>
      <c r="F126" s="19">
        <v>7</v>
      </c>
      <c r="G126" s="19">
        <v>7</v>
      </c>
      <c r="H126" s="19">
        <v>0.5</v>
      </c>
      <c r="I126" s="19">
        <v>3.6</v>
      </c>
      <c r="J126" s="19">
        <v>23</v>
      </c>
      <c r="K126" s="19">
        <v>23</v>
      </c>
      <c r="L126" s="19">
        <v>0</v>
      </c>
      <c r="M126" s="19">
        <v>0</v>
      </c>
      <c r="N126" s="19">
        <v>0</v>
      </c>
      <c r="O126" s="19">
        <v>0</v>
      </c>
      <c r="P126" s="19">
        <v>135</v>
      </c>
      <c r="Q126" s="19">
        <v>110</v>
      </c>
      <c r="R126" s="19">
        <v>59</v>
      </c>
      <c r="S126" s="19">
        <v>54</v>
      </c>
      <c r="T126" s="19">
        <v>19</v>
      </c>
      <c r="U126" s="19">
        <v>23</v>
      </c>
      <c r="V126" s="19">
        <v>0</v>
      </c>
      <c r="W126" s="19">
        <v>147</v>
      </c>
      <c r="X126" s="19">
        <v>5</v>
      </c>
      <c r="Y126" s="19">
        <v>1</v>
      </c>
      <c r="Z126" s="19">
        <v>2</v>
      </c>
      <c r="AA126" s="19">
        <v>538</v>
      </c>
      <c r="AB126" s="19">
        <v>115</v>
      </c>
      <c r="AC126" s="19">
        <v>3.44</v>
      </c>
      <c r="AD126" s="19">
        <v>0.98499999999999999</v>
      </c>
      <c r="AE126" s="19">
        <v>7.3</v>
      </c>
      <c r="AF126" s="19">
        <v>1.3</v>
      </c>
      <c r="AG126" s="19">
        <v>1.5</v>
      </c>
      <c r="AH126" s="19">
        <v>9.8000000000000007</v>
      </c>
      <c r="AI126" s="19">
        <v>6.39</v>
      </c>
      <c r="AJ126" s="19" t="s">
        <v>37</v>
      </c>
      <c r="AK126" s="19" t="s">
        <v>662</v>
      </c>
      <c r="AL126" s="19" t="s">
        <v>838</v>
      </c>
      <c r="AM126" s="19" t="s">
        <v>824</v>
      </c>
      <c r="AN126" s="108" t="str">
        <f>IFERROR(VLOOKUP(B127,'MIN Salary 2024'!$A$1:$I$40,7,FALSE),"No salary data")</f>
        <v>No salary data</v>
      </c>
      <c r="AO126" s="1" t="e">
        <f t="shared" si="1"/>
        <v>#VALUE!</v>
      </c>
    </row>
    <row r="127" spans="1:41" x14ac:dyDescent="0.25">
      <c r="A127">
        <v>4</v>
      </c>
      <c r="B127" t="s">
        <v>663</v>
      </c>
      <c r="C127">
        <v>23</v>
      </c>
      <c r="D127" t="s">
        <v>160</v>
      </c>
      <c r="E127">
        <v>2</v>
      </c>
      <c r="F127">
        <v>5</v>
      </c>
      <c r="G127">
        <v>5</v>
      </c>
      <c r="H127">
        <v>0.5</v>
      </c>
      <c r="I127">
        <v>4.17</v>
      </c>
      <c r="J127">
        <v>28</v>
      </c>
      <c r="K127">
        <v>28</v>
      </c>
      <c r="L127">
        <v>0</v>
      </c>
      <c r="M127">
        <v>0</v>
      </c>
      <c r="N127">
        <v>0</v>
      </c>
      <c r="O127">
        <v>0</v>
      </c>
      <c r="P127">
        <v>133.19999999999999</v>
      </c>
      <c r="Q127">
        <v>125</v>
      </c>
      <c r="R127">
        <v>63</v>
      </c>
      <c r="S127">
        <v>62</v>
      </c>
      <c r="T127">
        <v>16</v>
      </c>
      <c r="U127">
        <v>48</v>
      </c>
      <c r="V127">
        <v>0</v>
      </c>
      <c r="W127">
        <v>117</v>
      </c>
      <c r="X127">
        <v>3</v>
      </c>
      <c r="Y127">
        <v>0</v>
      </c>
      <c r="Z127">
        <v>3</v>
      </c>
      <c r="AA127">
        <v>569</v>
      </c>
      <c r="AB127">
        <v>99</v>
      </c>
      <c r="AC127">
        <v>4.12</v>
      </c>
      <c r="AD127">
        <v>1.294</v>
      </c>
      <c r="AE127">
        <v>8.4</v>
      </c>
      <c r="AF127">
        <v>1.1000000000000001</v>
      </c>
      <c r="AG127">
        <v>3.2</v>
      </c>
      <c r="AH127">
        <v>7.9</v>
      </c>
      <c r="AI127">
        <v>2.44</v>
      </c>
      <c r="AJ127" t="s">
        <v>37</v>
      </c>
      <c r="AK127" t="s">
        <v>664</v>
      </c>
      <c r="AL127" t="s">
        <v>838</v>
      </c>
      <c r="AM127" t="s">
        <v>824</v>
      </c>
      <c r="AN127" s="1">
        <f>IFERROR(VLOOKUP(B128,'MIN Salary 2024'!$A$1:$I$40,7,FALSE),"No salary data")</f>
        <v>2525000</v>
      </c>
      <c r="AO127" s="1">
        <f t="shared" si="1"/>
        <v>1262500</v>
      </c>
    </row>
    <row r="128" spans="1:41" x14ac:dyDescent="0.25">
      <c r="A128" s="19">
        <v>5</v>
      </c>
      <c r="B128" s="19" t="s">
        <v>665</v>
      </c>
      <c r="C128" s="19">
        <v>28</v>
      </c>
      <c r="D128" s="19" t="s">
        <v>160</v>
      </c>
      <c r="E128" s="19">
        <v>0.4</v>
      </c>
      <c r="F128" s="19">
        <v>5</v>
      </c>
      <c r="G128" s="19">
        <v>3</v>
      </c>
      <c r="H128" s="19">
        <v>0.625</v>
      </c>
      <c r="I128" s="19">
        <v>4.99</v>
      </c>
      <c r="J128" s="19">
        <v>17</v>
      </c>
      <c r="K128" s="19">
        <v>17</v>
      </c>
      <c r="L128" s="19">
        <v>0</v>
      </c>
      <c r="M128" s="19">
        <v>0</v>
      </c>
      <c r="N128" s="19">
        <v>0</v>
      </c>
      <c r="O128" s="19">
        <v>0</v>
      </c>
      <c r="P128" s="19">
        <v>88.1</v>
      </c>
      <c r="Q128" s="19">
        <v>102</v>
      </c>
      <c r="R128" s="19">
        <v>50</v>
      </c>
      <c r="S128" s="19">
        <v>49</v>
      </c>
      <c r="T128" s="19">
        <v>14</v>
      </c>
      <c r="U128" s="19">
        <v>21</v>
      </c>
      <c r="V128" s="19">
        <v>0</v>
      </c>
      <c r="W128" s="19">
        <v>79</v>
      </c>
      <c r="X128" s="19">
        <v>1</v>
      </c>
      <c r="Y128" s="19">
        <v>0</v>
      </c>
      <c r="Z128" s="19">
        <v>3</v>
      </c>
      <c r="AA128" s="19">
        <v>384</v>
      </c>
      <c r="AB128" s="19">
        <v>83</v>
      </c>
      <c r="AC128" s="19">
        <v>4.18</v>
      </c>
      <c r="AD128" s="19">
        <v>1.3919999999999999</v>
      </c>
      <c r="AE128" s="19">
        <v>10.4</v>
      </c>
      <c r="AF128" s="19">
        <v>1.4</v>
      </c>
      <c r="AG128" s="19">
        <v>2.1</v>
      </c>
      <c r="AH128" s="19">
        <v>8</v>
      </c>
      <c r="AI128" s="19">
        <v>3.76</v>
      </c>
      <c r="AJ128" s="19" t="s">
        <v>37</v>
      </c>
      <c r="AK128" s="19" t="s">
        <v>666</v>
      </c>
      <c r="AL128" s="19" t="s">
        <v>838</v>
      </c>
      <c r="AM128" s="19" t="s">
        <v>824</v>
      </c>
      <c r="AN128" s="108">
        <f>IFERROR(VLOOKUP(B129,'MIN Salary 2024'!$A$1:$I$40,7,FALSE),"No salary data")</f>
        <v>306306</v>
      </c>
      <c r="AO128" s="1">
        <f t="shared" si="1"/>
        <v>765765</v>
      </c>
    </row>
    <row r="129" spans="1:41" hidden="1" x14ac:dyDescent="0.25">
      <c r="A129">
        <v>6</v>
      </c>
      <c r="B129" t="s">
        <v>667</v>
      </c>
      <c r="C129">
        <v>24</v>
      </c>
      <c r="D129" t="s">
        <v>160</v>
      </c>
      <c r="E129">
        <v>0.5</v>
      </c>
      <c r="F129">
        <v>2</v>
      </c>
      <c r="G129">
        <v>6</v>
      </c>
      <c r="H129">
        <v>0.25</v>
      </c>
      <c r="I129">
        <v>4.9000000000000004</v>
      </c>
      <c r="J129">
        <v>14</v>
      </c>
      <c r="K129">
        <v>13</v>
      </c>
      <c r="L129">
        <v>0</v>
      </c>
      <c r="M129">
        <v>0</v>
      </c>
      <c r="N129">
        <v>0</v>
      </c>
      <c r="O129">
        <v>0</v>
      </c>
      <c r="P129">
        <v>64.099999999999994</v>
      </c>
      <c r="Q129">
        <v>62</v>
      </c>
      <c r="R129">
        <v>36</v>
      </c>
      <c r="S129">
        <v>35</v>
      </c>
      <c r="T129">
        <v>9</v>
      </c>
      <c r="U129">
        <v>23</v>
      </c>
      <c r="V129">
        <v>0</v>
      </c>
      <c r="W129">
        <v>77</v>
      </c>
      <c r="X129">
        <v>2</v>
      </c>
      <c r="Y129">
        <v>1</v>
      </c>
      <c r="Z129">
        <v>2</v>
      </c>
      <c r="AA129">
        <v>277</v>
      </c>
      <c r="AB129">
        <v>85</v>
      </c>
      <c r="AC129">
        <v>3.76</v>
      </c>
      <c r="AD129">
        <v>1.321</v>
      </c>
      <c r="AE129">
        <v>8.6999999999999993</v>
      </c>
      <c r="AF129">
        <v>1.3</v>
      </c>
      <c r="AG129">
        <v>3.2</v>
      </c>
      <c r="AH129">
        <v>10.8</v>
      </c>
      <c r="AI129">
        <v>3.35</v>
      </c>
      <c r="AJ129" t="s">
        <v>37</v>
      </c>
      <c r="AK129" t="s">
        <v>668</v>
      </c>
      <c r="AL129" t="s">
        <v>838</v>
      </c>
      <c r="AM129" t="s">
        <v>824</v>
      </c>
      <c r="AN129" s="1" t="str">
        <f>IFERROR(VLOOKUP(B130,'MIN Salary 2024'!$A$1:$I$40,7,FALSE),"No salary data")</f>
        <v>No salary data</v>
      </c>
      <c r="AO129" s="1" t="e">
        <f t="shared" si="1"/>
        <v>#VALUE!</v>
      </c>
    </row>
    <row r="130" spans="1:41" x14ac:dyDescent="0.25">
      <c r="A130" s="19">
        <v>7</v>
      </c>
      <c r="B130" s="19" t="s">
        <v>669</v>
      </c>
      <c r="C130" s="19">
        <v>26</v>
      </c>
      <c r="D130" s="19" t="s">
        <v>169</v>
      </c>
      <c r="E130" s="19">
        <v>0.2</v>
      </c>
      <c r="F130" s="19">
        <v>6</v>
      </c>
      <c r="G130" s="19">
        <v>9</v>
      </c>
      <c r="H130" s="19">
        <v>0.4</v>
      </c>
      <c r="I130" s="19">
        <v>3.64</v>
      </c>
      <c r="J130" s="19">
        <v>58</v>
      </c>
      <c r="K130" s="19">
        <v>0</v>
      </c>
      <c r="L130" s="19">
        <v>37</v>
      </c>
      <c r="M130" s="19">
        <v>0</v>
      </c>
      <c r="N130" s="19">
        <v>0</v>
      </c>
      <c r="O130" s="19">
        <v>23</v>
      </c>
      <c r="P130" s="19">
        <v>54.1</v>
      </c>
      <c r="Q130" s="19">
        <v>48</v>
      </c>
      <c r="R130" s="19">
        <v>30</v>
      </c>
      <c r="S130" s="19">
        <v>22</v>
      </c>
      <c r="T130" s="19">
        <v>4</v>
      </c>
      <c r="U130" s="19">
        <v>15</v>
      </c>
      <c r="V130" s="19">
        <v>2</v>
      </c>
      <c r="W130" s="19">
        <v>66</v>
      </c>
      <c r="X130" s="19">
        <v>6</v>
      </c>
      <c r="Y130" s="19">
        <v>1</v>
      </c>
      <c r="Z130" s="19">
        <v>1</v>
      </c>
      <c r="AA130" s="19">
        <v>228</v>
      </c>
      <c r="AB130" s="19">
        <v>114</v>
      </c>
      <c r="AC130" s="19">
        <v>2.85</v>
      </c>
      <c r="AD130" s="19">
        <v>1.1599999999999999</v>
      </c>
      <c r="AE130" s="19">
        <v>8</v>
      </c>
      <c r="AF130" s="19">
        <v>0.7</v>
      </c>
      <c r="AG130" s="19">
        <v>2.5</v>
      </c>
      <c r="AH130" s="19">
        <v>10.9</v>
      </c>
      <c r="AI130" s="19">
        <v>4.4000000000000004</v>
      </c>
      <c r="AJ130" s="19" t="s">
        <v>37</v>
      </c>
      <c r="AK130" s="19" t="s">
        <v>670</v>
      </c>
      <c r="AL130" s="19" t="s">
        <v>838</v>
      </c>
      <c r="AM130" s="19" t="s">
        <v>824</v>
      </c>
      <c r="AN130" s="108">
        <f>IFERROR(VLOOKUP(B131,'MIN Salary 2024'!$A$1:$I$40,7,FALSE),"No salary data")</f>
        <v>749450</v>
      </c>
      <c r="AO130" s="1">
        <f t="shared" si="1"/>
        <v>3747250</v>
      </c>
    </row>
    <row r="131" spans="1:41" x14ac:dyDescent="0.25">
      <c r="A131">
        <v>8</v>
      </c>
      <c r="B131" t="s">
        <v>671</v>
      </c>
      <c r="C131">
        <v>26</v>
      </c>
      <c r="D131" t="s">
        <v>171</v>
      </c>
      <c r="E131">
        <v>1.3</v>
      </c>
      <c r="F131">
        <v>9</v>
      </c>
      <c r="G131">
        <v>1</v>
      </c>
      <c r="H131">
        <v>0.9</v>
      </c>
      <c r="I131">
        <v>3.28</v>
      </c>
      <c r="J131">
        <v>62</v>
      </c>
      <c r="K131">
        <v>0</v>
      </c>
      <c r="L131">
        <v>11</v>
      </c>
      <c r="M131">
        <v>0</v>
      </c>
      <c r="N131">
        <v>0</v>
      </c>
      <c r="O131">
        <v>4</v>
      </c>
      <c r="P131">
        <v>71.099999999999994</v>
      </c>
      <c r="Q131">
        <v>59</v>
      </c>
      <c r="R131">
        <v>30</v>
      </c>
      <c r="S131">
        <v>26</v>
      </c>
      <c r="T131">
        <v>6</v>
      </c>
      <c r="U131">
        <v>12</v>
      </c>
      <c r="V131">
        <v>0</v>
      </c>
      <c r="W131">
        <v>85</v>
      </c>
      <c r="X131">
        <v>6</v>
      </c>
      <c r="Y131">
        <v>1</v>
      </c>
      <c r="Z131">
        <v>3</v>
      </c>
      <c r="AA131">
        <v>292</v>
      </c>
      <c r="AB131">
        <v>127</v>
      </c>
      <c r="AC131">
        <v>2.63</v>
      </c>
      <c r="AD131">
        <v>0.995</v>
      </c>
      <c r="AE131">
        <v>7.4</v>
      </c>
      <c r="AF131">
        <v>0.8</v>
      </c>
      <c r="AG131">
        <v>1.5</v>
      </c>
      <c r="AH131">
        <v>10.7</v>
      </c>
      <c r="AI131">
        <v>7.08</v>
      </c>
      <c r="AJ131" t="s">
        <v>37</v>
      </c>
      <c r="AK131" t="s">
        <v>672</v>
      </c>
      <c r="AL131" t="s">
        <v>838</v>
      </c>
      <c r="AM131" t="s">
        <v>824</v>
      </c>
      <c r="AN131" s="1">
        <f>IFERROR(VLOOKUP(B132,'MIN Salary 2024'!$A$1:$I$40,7,FALSE),"No salary data")</f>
        <v>1114602</v>
      </c>
      <c r="AO131" s="1">
        <f t="shared" ref="AO131:AO157" si="2">AN131/E131</f>
        <v>857386.15384615387</v>
      </c>
    </row>
    <row r="132" spans="1:41" hidden="1" x14ac:dyDescent="0.25">
      <c r="A132" s="19">
        <v>9</v>
      </c>
      <c r="B132" s="19" t="s">
        <v>673</v>
      </c>
      <c r="C132" s="19">
        <v>29</v>
      </c>
      <c r="D132" s="19" t="s">
        <v>171</v>
      </c>
      <c r="E132" s="19">
        <v>2.8</v>
      </c>
      <c r="F132" s="19">
        <v>5</v>
      </c>
      <c r="G132" s="19">
        <v>5</v>
      </c>
      <c r="H132" s="19">
        <v>0.5</v>
      </c>
      <c r="I132" s="19">
        <v>2.0299999999999998</v>
      </c>
      <c r="J132" s="19">
        <v>72</v>
      </c>
      <c r="K132" s="19">
        <v>0</v>
      </c>
      <c r="L132" s="19">
        <v>16</v>
      </c>
      <c r="M132" s="19">
        <v>0</v>
      </c>
      <c r="N132" s="19">
        <v>0</v>
      </c>
      <c r="O132" s="19">
        <v>10</v>
      </c>
      <c r="P132" s="19">
        <v>71</v>
      </c>
      <c r="Q132" s="19">
        <v>47</v>
      </c>
      <c r="R132" s="19">
        <v>19</v>
      </c>
      <c r="S132" s="19">
        <v>16</v>
      </c>
      <c r="T132" s="19">
        <v>4</v>
      </c>
      <c r="U132" s="19">
        <v>15</v>
      </c>
      <c r="V132" s="19">
        <v>1</v>
      </c>
      <c r="W132" s="19">
        <v>95</v>
      </c>
      <c r="X132" s="19">
        <v>2</v>
      </c>
      <c r="Y132" s="19">
        <v>0</v>
      </c>
      <c r="Z132" s="19">
        <v>4</v>
      </c>
      <c r="AA132" s="19">
        <v>276</v>
      </c>
      <c r="AB132" s="19">
        <v>205</v>
      </c>
      <c r="AC132" s="19">
        <v>1.94</v>
      </c>
      <c r="AD132" s="19">
        <v>0.873</v>
      </c>
      <c r="AE132" s="19">
        <v>6</v>
      </c>
      <c r="AF132" s="19">
        <v>0.5</v>
      </c>
      <c r="AG132" s="19">
        <v>1.9</v>
      </c>
      <c r="AH132" s="19">
        <v>12</v>
      </c>
      <c r="AI132" s="19">
        <v>6.33</v>
      </c>
      <c r="AJ132" s="19" t="s">
        <v>37</v>
      </c>
      <c r="AK132" s="19" t="s">
        <v>674</v>
      </c>
      <c r="AL132" s="19" t="s">
        <v>838</v>
      </c>
      <c r="AM132" s="19" t="s">
        <v>824</v>
      </c>
      <c r="AN132" s="108" t="str">
        <f>IFERROR(VLOOKUP(B133,'MIN Salary 2024'!$A$1:$I$40,7,FALSE),"No salary data")</f>
        <v>No salary data</v>
      </c>
      <c r="AO132" s="1" t="e">
        <f t="shared" si="2"/>
        <v>#VALUE!</v>
      </c>
    </row>
    <row r="133" spans="1:41" x14ac:dyDescent="0.25">
      <c r="A133">
        <v>10</v>
      </c>
      <c r="B133" t="s">
        <v>675</v>
      </c>
      <c r="C133">
        <v>28</v>
      </c>
      <c r="D133" t="s">
        <v>171</v>
      </c>
      <c r="E133">
        <v>1.4</v>
      </c>
      <c r="F133">
        <v>4</v>
      </c>
      <c r="G133">
        <v>3</v>
      </c>
      <c r="H133">
        <v>0.57099999999999995</v>
      </c>
      <c r="I133">
        <v>3.24</v>
      </c>
      <c r="J133">
        <v>54</v>
      </c>
      <c r="K133">
        <v>0</v>
      </c>
      <c r="L133">
        <v>5</v>
      </c>
      <c r="M133">
        <v>0</v>
      </c>
      <c r="N133">
        <v>0</v>
      </c>
      <c r="O133">
        <v>0</v>
      </c>
      <c r="P133">
        <v>58.1</v>
      </c>
      <c r="Q133">
        <v>40</v>
      </c>
      <c r="R133">
        <v>23</v>
      </c>
      <c r="S133">
        <v>21</v>
      </c>
      <c r="T133">
        <v>8</v>
      </c>
      <c r="U133">
        <v>20</v>
      </c>
      <c r="V133">
        <v>1</v>
      </c>
      <c r="W133">
        <v>58</v>
      </c>
      <c r="X133">
        <v>3</v>
      </c>
      <c r="Y133">
        <v>0</v>
      </c>
      <c r="Z133">
        <v>4</v>
      </c>
      <c r="AA133">
        <v>235</v>
      </c>
      <c r="AB133">
        <v>129</v>
      </c>
      <c r="AC133">
        <v>4.1399999999999997</v>
      </c>
      <c r="AD133">
        <v>1.0289999999999999</v>
      </c>
      <c r="AE133">
        <v>6.2</v>
      </c>
      <c r="AF133">
        <v>1.2</v>
      </c>
      <c r="AG133">
        <v>3.1</v>
      </c>
      <c r="AH133">
        <v>8.9</v>
      </c>
      <c r="AI133">
        <v>2.9</v>
      </c>
      <c r="AJ133" t="s">
        <v>37</v>
      </c>
      <c r="AK133" t="s">
        <v>676</v>
      </c>
      <c r="AL133" t="s">
        <v>838</v>
      </c>
      <c r="AM133" t="s">
        <v>824</v>
      </c>
      <c r="AN133" s="1">
        <f>IFERROR(VLOOKUP(B134,'MIN Salary 2024'!$A$1:$I$40,7,FALSE),"No salary data")</f>
        <v>3225000</v>
      </c>
      <c r="AO133" s="1">
        <f t="shared" si="2"/>
        <v>2303571.4285714286</v>
      </c>
    </row>
    <row r="134" spans="1:41" hidden="1" x14ac:dyDescent="0.25">
      <c r="A134" s="19">
        <v>11</v>
      </c>
      <c r="B134" s="19" t="s">
        <v>677</v>
      </c>
      <c r="C134" s="19">
        <v>37</v>
      </c>
      <c r="D134" s="19" t="s">
        <v>171</v>
      </c>
      <c r="E134" s="19">
        <v>-0.6</v>
      </c>
      <c r="F134" s="19">
        <v>2</v>
      </c>
      <c r="G134" s="19">
        <v>4</v>
      </c>
      <c r="H134" s="19">
        <v>0.33300000000000002</v>
      </c>
      <c r="I134" s="19">
        <v>5.32</v>
      </c>
      <c r="J134" s="19">
        <v>59</v>
      </c>
      <c r="K134" s="19">
        <v>0</v>
      </c>
      <c r="L134" s="19">
        <v>18</v>
      </c>
      <c r="M134" s="19">
        <v>0</v>
      </c>
      <c r="N134" s="19">
        <v>0</v>
      </c>
      <c r="O134" s="19">
        <v>3</v>
      </c>
      <c r="P134" s="19">
        <v>47.1</v>
      </c>
      <c r="Q134" s="19">
        <v>50</v>
      </c>
      <c r="R134" s="19">
        <v>33</v>
      </c>
      <c r="S134" s="19">
        <v>28</v>
      </c>
      <c r="T134" s="19">
        <v>6</v>
      </c>
      <c r="U134" s="19">
        <v>24</v>
      </c>
      <c r="V134" s="19">
        <v>2</v>
      </c>
      <c r="W134" s="19">
        <v>53</v>
      </c>
      <c r="X134" s="19">
        <v>0</v>
      </c>
      <c r="Y134" s="19">
        <v>0</v>
      </c>
      <c r="Z134" s="19">
        <v>2</v>
      </c>
      <c r="AA134" s="19">
        <v>216</v>
      </c>
      <c r="AB134" s="19">
        <v>78</v>
      </c>
      <c r="AC134" s="19">
        <v>4.0999999999999996</v>
      </c>
      <c r="AD134" s="19">
        <v>1.5629999999999999</v>
      </c>
      <c r="AE134" s="19">
        <v>9.5</v>
      </c>
      <c r="AF134" s="19">
        <v>1.1000000000000001</v>
      </c>
      <c r="AG134" s="19">
        <v>4.5999999999999996</v>
      </c>
      <c r="AH134" s="19">
        <v>10.1</v>
      </c>
      <c r="AI134" s="19">
        <v>2.21</v>
      </c>
      <c r="AJ134" s="19" t="s">
        <v>37</v>
      </c>
      <c r="AK134" s="19" t="s">
        <v>678</v>
      </c>
      <c r="AL134" s="19" t="s">
        <v>838</v>
      </c>
      <c r="AM134" s="19" t="s">
        <v>824</v>
      </c>
      <c r="AN134" s="108" t="str">
        <f>IFERROR(VLOOKUP(B135,'MIN Salary 2024'!$A$1:$I$40,7,FALSE),"No salary data")</f>
        <v>No salary data</v>
      </c>
      <c r="AO134" s="1" t="e">
        <f t="shared" si="2"/>
        <v>#VALUE!</v>
      </c>
    </row>
    <row r="135" spans="1:41" x14ac:dyDescent="0.25">
      <c r="A135">
        <v>12</v>
      </c>
      <c r="B135" t="s">
        <v>679</v>
      </c>
      <c r="C135">
        <v>26</v>
      </c>
      <c r="D135" t="s">
        <v>37</v>
      </c>
      <c r="E135">
        <v>-1.4</v>
      </c>
      <c r="F135">
        <v>0</v>
      </c>
      <c r="G135">
        <v>6</v>
      </c>
      <c r="H135">
        <v>0</v>
      </c>
      <c r="I135">
        <v>7.61</v>
      </c>
      <c r="J135">
        <v>16</v>
      </c>
      <c r="K135">
        <v>7</v>
      </c>
      <c r="L135">
        <v>1</v>
      </c>
      <c r="M135">
        <v>0</v>
      </c>
      <c r="N135">
        <v>0</v>
      </c>
      <c r="O135">
        <v>0</v>
      </c>
      <c r="P135">
        <v>49.2</v>
      </c>
      <c r="Q135">
        <v>68</v>
      </c>
      <c r="R135">
        <v>44</v>
      </c>
      <c r="S135">
        <v>42</v>
      </c>
      <c r="T135">
        <v>12</v>
      </c>
      <c r="U135">
        <v>16</v>
      </c>
      <c r="V135">
        <v>1</v>
      </c>
      <c r="W135">
        <v>49</v>
      </c>
      <c r="X135">
        <v>4</v>
      </c>
      <c r="Y135">
        <v>0</v>
      </c>
      <c r="Z135">
        <v>0</v>
      </c>
      <c r="AA135">
        <v>238</v>
      </c>
      <c r="AB135">
        <v>55</v>
      </c>
      <c r="AC135">
        <v>5.54</v>
      </c>
      <c r="AD135">
        <v>1.6910000000000001</v>
      </c>
      <c r="AE135">
        <v>12.3</v>
      </c>
      <c r="AF135">
        <v>2.2000000000000002</v>
      </c>
      <c r="AG135">
        <v>2.9</v>
      </c>
      <c r="AH135">
        <v>8.9</v>
      </c>
      <c r="AI135">
        <v>3.06</v>
      </c>
      <c r="AJ135" t="s">
        <v>37</v>
      </c>
      <c r="AK135" t="s">
        <v>680</v>
      </c>
      <c r="AL135" t="s">
        <v>838</v>
      </c>
      <c r="AM135" t="s">
        <v>824</v>
      </c>
      <c r="AN135" s="1">
        <f>IFERROR(VLOOKUP(B136,'MIN Salary 2024'!$A$1:$I$40,7,FALSE),"No salary data")</f>
        <v>186966</v>
      </c>
      <c r="AO135" s="1">
        <f t="shared" si="2"/>
        <v>-133547.14285714287</v>
      </c>
    </row>
    <row r="136" spans="1:41" hidden="1" x14ac:dyDescent="0.25">
      <c r="A136" s="19">
        <v>13</v>
      </c>
      <c r="B136" s="19" t="s">
        <v>681</v>
      </c>
      <c r="C136" s="19">
        <v>24</v>
      </c>
      <c r="D136" s="19" t="s">
        <v>37</v>
      </c>
      <c r="E136" s="19">
        <v>-0.6</v>
      </c>
      <c r="F136" s="19">
        <v>1</v>
      </c>
      <c r="G136" s="19">
        <v>4</v>
      </c>
      <c r="H136" s="19">
        <v>0.2</v>
      </c>
      <c r="I136" s="19">
        <v>6.69</v>
      </c>
      <c r="J136" s="19">
        <v>9</v>
      </c>
      <c r="K136" s="19">
        <v>9</v>
      </c>
      <c r="L136" s="19">
        <v>0</v>
      </c>
      <c r="M136" s="19">
        <v>0</v>
      </c>
      <c r="N136" s="19">
        <v>0</v>
      </c>
      <c r="O136" s="19">
        <v>0</v>
      </c>
      <c r="P136" s="19">
        <v>37.200000000000003</v>
      </c>
      <c r="Q136" s="19">
        <v>51</v>
      </c>
      <c r="R136" s="19">
        <v>31</v>
      </c>
      <c r="S136" s="19">
        <v>28</v>
      </c>
      <c r="T136" s="19">
        <v>11</v>
      </c>
      <c r="U136" s="19">
        <v>11</v>
      </c>
      <c r="V136" s="19">
        <v>0</v>
      </c>
      <c r="W136" s="19">
        <v>43</v>
      </c>
      <c r="X136" s="19">
        <v>2</v>
      </c>
      <c r="Y136" s="19">
        <v>0</v>
      </c>
      <c r="Z136" s="19">
        <v>1</v>
      </c>
      <c r="AA136" s="19">
        <v>177</v>
      </c>
      <c r="AB136" s="19">
        <v>62</v>
      </c>
      <c r="AC136" s="19">
        <v>5.71</v>
      </c>
      <c r="AD136" s="19">
        <v>1.6459999999999999</v>
      </c>
      <c r="AE136" s="19">
        <v>12.2</v>
      </c>
      <c r="AF136" s="19">
        <v>2.6</v>
      </c>
      <c r="AG136" s="19">
        <v>2.6</v>
      </c>
      <c r="AH136" s="19">
        <v>10.3</v>
      </c>
      <c r="AI136" s="19">
        <v>3.91</v>
      </c>
      <c r="AJ136" s="19" t="s">
        <v>37</v>
      </c>
      <c r="AK136" s="19" t="s">
        <v>682</v>
      </c>
      <c r="AL136" s="19" t="s">
        <v>838</v>
      </c>
      <c r="AM136" s="19" t="s">
        <v>824</v>
      </c>
      <c r="AN136" s="108" t="str">
        <f>IFERROR(VLOOKUP(B137,'MIN Salary 2024'!$A$1:$I$40,7,FALSE),"No salary data")</f>
        <v>No salary data</v>
      </c>
      <c r="AO136" s="1" t="e">
        <f t="shared" si="2"/>
        <v>#VALUE!</v>
      </c>
    </row>
    <row r="137" spans="1:41" hidden="1" x14ac:dyDescent="0.25">
      <c r="A137" s="19">
        <v>14</v>
      </c>
      <c r="B137" s="19" t="s">
        <v>683</v>
      </c>
      <c r="C137" s="19">
        <v>32</v>
      </c>
      <c r="D137" s="19" t="s">
        <v>37</v>
      </c>
      <c r="E137" s="19">
        <v>-0.3</v>
      </c>
      <c r="F137" s="19">
        <v>3</v>
      </c>
      <c r="G137" s="19">
        <v>2</v>
      </c>
      <c r="H137" s="19">
        <v>0.6</v>
      </c>
      <c r="I137" s="19">
        <v>5.09</v>
      </c>
      <c r="J137" s="19">
        <v>44</v>
      </c>
      <c r="K137" s="19">
        <v>1</v>
      </c>
      <c r="L137" s="19">
        <v>8</v>
      </c>
      <c r="M137" s="19">
        <v>0</v>
      </c>
      <c r="N137" s="19">
        <v>0</v>
      </c>
      <c r="O137" s="19">
        <v>1</v>
      </c>
      <c r="P137" s="19">
        <v>35.1</v>
      </c>
      <c r="Q137" s="19">
        <v>37</v>
      </c>
      <c r="R137" s="19">
        <v>22</v>
      </c>
      <c r="S137" s="19">
        <v>20</v>
      </c>
      <c r="T137" s="19">
        <v>6</v>
      </c>
      <c r="U137" s="19">
        <v>16</v>
      </c>
      <c r="V137" s="19">
        <v>3</v>
      </c>
      <c r="W137" s="19">
        <v>33</v>
      </c>
      <c r="X137" s="19">
        <v>3</v>
      </c>
      <c r="Y137" s="19">
        <v>0</v>
      </c>
      <c r="Z137" s="19">
        <v>2</v>
      </c>
      <c r="AA137" s="19">
        <v>160</v>
      </c>
      <c r="AB137" s="19">
        <v>82</v>
      </c>
      <c r="AC137" s="19">
        <v>5.12</v>
      </c>
      <c r="AD137" s="19">
        <v>1.5</v>
      </c>
      <c r="AE137" s="19">
        <v>9.4</v>
      </c>
      <c r="AF137" s="19">
        <v>1.5</v>
      </c>
      <c r="AG137" s="19">
        <v>4.0999999999999996</v>
      </c>
      <c r="AH137" s="19">
        <v>8.4</v>
      </c>
      <c r="AI137" s="19">
        <v>2.06</v>
      </c>
      <c r="AJ137" s="19" t="s">
        <v>37</v>
      </c>
      <c r="AK137" s="19" t="s">
        <v>684</v>
      </c>
      <c r="AL137" s="19" t="s">
        <v>838</v>
      </c>
      <c r="AM137" s="19" t="s">
        <v>824</v>
      </c>
      <c r="AN137" s="108" t="str">
        <f>IFERROR(VLOOKUP(B138,'MIN Salary 2024'!$A$1:$I$40,7,FALSE),"No salary data")</f>
        <v>No salary data</v>
      </c>
      <c r="AO137" s="1" t="e">
        <f t="shared" si="2"/>
        <v>#VALUE!</v>
      </c>
    </row>
    <row r="138" spans="1:41" hidden="1" x14ac:dyDescent="0.25">
      <c r="A138" s="19">
        <v>15</v>
      </c>
      <c r="B138" s="19" t="s">
        <v>685</v>
      </c>
      <c r="C138" s="19">
        <v>27</v>
      </c>
      <c r="D138" s="19" t="s">
        <v>37</v>
      </c>
      <c r="E138" s="19">
        <v>-0.6</v>
      </c>
      <c r="F138" s="19">
        <v>1</v>
      </c>
      <c r="G138" s="19">
        <v>0</v>
      </c>
      <c r="H138" s="19">
        <v>1</v>
      </c>
      <c r="I138" s="19">
        <v>6.49</v>
      </c>
      <c r="J138" s="19">
        <v>27</v>
      </c>
      <c r="K138" s="19">
        <v>0</v>
      </c>
      <c r="L138" s="19">
        <v>6</v>
      </c>
      <c r="M138" s="19">
        <v>0</v>
      </c>
      <c r="N138" s="19">
        <v>0</v>
      </c>
      <c r="O138" s="19">
        <v>1</v>
      </c>
      <c r="P138" s="19">
        <v>34.200000000000003</v>
      </c>
      <c r="Q138" s="19">
        <v>41</v>
      </c>
      <c r="R138" s="19">
        <v>26</v>
      </c>
      <c r="S138" s="19">
        <v>25</v>
      </c>
      <c r="T138" s="19">
        <v>4</v>
      </c>
      <c r="U138" s="19">
        <v>15</v>
      </c>
      <c r="V138" s="19">
        <v>0</v>
      </c>
      <c r="W138" s="19">
        <v>32</v>
      </c>
      <c r="X138" s="19">
        <v>5</v>
      </c>
      <c r="Y138" s="19">
        <v>1</v>
      </c>
      <c r="Z138" s="19">
        <v>4</v>
      </c>
      <c r="AA138" s="19">
        <v>161</v>
      </c>
      <c r="AB138" s="19">
        <v>64</v>
      </c>
      <c r="AC138" s="19">
        <v>4.55</v>
      </c>
      <c r="AD138" s="19">
        <v>1.615</v>
      </c>
      <c r="AE138" s="19">
        <v>10.6</v>
      </c>
      <c r="AF138" s="19">
        <v>1</v>
      </c>
      <c r="AG138" s="19">
        <v>3.9</v>
      </c>
      <c r="AH138" s="19">
        <v>8.3000000000000007</v>
      </c>
      <c r="AI138" s="19">
        <v>2.13</v>
      </c>
      <c r="AJ138" s="19" t="s">
        <v>37</v>
      </c>
      <c r="AK138" s="19" t="s">
        <v>686</v>
      </c>
      <c r="AL138" s="19" t="s">
        <v>838</v>
      </c>
      <c r="AM138" s="19" t="s">
        <v>824</v>
      </c>
      <c r="AN138" s="108" t="str">
        <f>IFERROR(VLOOKUP(B139,'MIN Salary 2024'!$A$1:$I$40,7,FALSE),"No salary data")</f>
        <v>No salary data</v>
      </c>
      <c r="AO138" s="1" t="e">
        <f t="shared" si="2"/>
        <v>#VALUE!</v>
      </c>
    </row>
    <row r="139" spans="1:41" hidden="1" x14ac:dyDescent="0.25">
      <c r="A139" s="19">
        <v>16</v>
      </c>
      <c r="B139" s="19" t="s">
        <v>687</v>
      </c>
      <c r="C139" s="19">
        <v>36</v>
      </c>
      <c r="D139" s="19" t="s">
        <v>37</v>
      </c>
      <c r="E139" s="19">
        <v>-0.6</v>
      </c>
      <c r="F139" s="19">
        <v>1</v>
      </c>
      <c r="G139" s="19">
        <v>2</v>
      </c>
      <c r="H139" s="19">
        <v>0.33300000000000002</v>
      </c>
      <c r="I139" s="19">
        <v>7.52</v>
      </c>
      <c r="J139" s="19">
        <v>20</v>
      </c>
      <c r="K139" s="19">
        <v>0</v>
      </c>
      <c r="L139" s="19">
        <v>10</v>
      </c>
      <c r="M139" s="19">
        <v>0</v>
      </c>
      <c r="N139" s="19">
        <v>0</v>
      </c>
      <c r="O139" s="19">
        <v>0</v>
      </c>
      <c r="P139" s="19">
        <v>26.1</v>
      </c>
      <c r="Q139" s="19">
        <v>28</v>
      </c>
      <c r="R139" s="19">
        <v>24</v>
      </c>
      <c r="S139" s="19">
        <v>22</v>
      </c>
      <c r="T139" s="19">
        <v>7</v>
      </c>
      <c r="U139" s="19">
        <v>9</v>
      </c>
      <c r="V139" s="19">
        <v>0</v>
      </c>
      <c r="W139" s="19">
        <v>29</v>
      </c>
      <c r="X139" s="19">
        <v>0</v>
      </c>
      <c r="Y139" s="19">
        <v>0</v>
      </c>
      <c r="Z139" s="19">
        <v>0</v>
      </c>
      <c r="AA139" s="19">
        <v>114</v>
      </c>
      <c r="AB139" s="19">
        <v>56</v>
      </c>
      <c r="AC139" s="19">
        <v>5.44</v>
      </c>
      <c r="AD139" s="19">
        <v>1.405</v>
      </c>
      <c r="AE139" s="19">
        <v>9.6</v>
      </c>
      <c r="AF139" s="19">
        <v>2.4</v>
      </c>
      <c r="AG139" s="19">
        <v>3.1</v>
      </c>
      <c r="AH139" s="19">
        <v>9.9</v>
      </c>
      <c r="AI139" s="19">
        <v>3.22</v>
      </c>
      <c r="AJ139" s="19" t="s">
        <v>37</v>
      </c>
      <c r="AK139" s="19" t="s">
        <v>688</v>
      </c>
      <c r="AL139" s="19" t="s">
        <v>838</v>
      </c>
      <c r="AM139" s="19" t="s">
        <v>824</v>
      </c>
      <c r="AN139" s="108" t="str">
        <f>IFERROR(VLOOKUP(B140,'MIN Salary 2024'!$A$1:$I$40,7,FALSE),"No salary data")</f>
        <v>No salary data</v>
      </c>
      <c r="AO139" s="1" t="e">
        <f t="shared" si="2"/>
        <v>#VALUE!</v>
      </c>
    </row>
    <row r="140" spans="1:41" x14ac:dyDescent="0.25">
      <c r="A140" s="19">
        <v>17</v>
      </c>
      <c r="B140" s="19" t="s">
        <v>594</v>
      </c>
      <c r="C140" s="19">
        <v>30</v>
      </c>
      <c r="D140" s="19" t="s">
        <v>37</v>
      </c>
      <c r="E140" s="19">
        <v>0.2</v>
      </c>
      <c r="F140" s="19">
        <v>1</v>
      </c>
      <c r="G140" s="19">
        <v>0</v>
      </c>
      <c r="H140" s="19">
        <v>1</v>
      </c>
      <c r="I140" s="19">
        <v>3.7</v>
      </c>
      <c r="J140" s="19">
        <v>25</v>
      </c>
      <c r="K140" s="19">
        <v>0</v>
      </c>
      <c r="L140" s="19">
        <v>12</v>
      </c>
      <c r="M140" s="19">
        <v>0</v>
      </c>
      <c r="N140" s="19">
        <v>0</v>
      </c>
      <c r="O140" s="19">
        <v>0</v>
      </c>
      <c r="P140" s="19">
        <v>24.1</v>
      </c>
      <c r="Q140" s="19">
        <v>17</v>
      </c>
      <c r="R140" s="19">
        <v>12</v>
      </c>
      <c r="S140" s="19">
        <v>10</v>
      </c>
      <c r="T140" s="19">
        <v>0</v>
      </c>
      <c r="U140" s="19">
        <v>14</v>
      </c>
      <c r="V140" s="19">
        <v>0</v>
      </c>
      <c r="W140" s="19">
        <v>18</v>
      </c>
      <c r="X140" s="19">
        <v>1</v>
      </c>
      <c r="Y140" s="19">
        <v>0</v>
      </c>
      <c r="Z140" s="19">
        <v>1</v>
      </c>
      <c r="AA140" s="19">
        <v>102</v>
      </c>
      <c r="AB140" s="19">
        <v>114</v>
      </c>
      <c r="AC140" s="19">
        <v>3.54</v>
      </c>
      <c r="AD140" s="19">
        <v>1.274</v>
      </c>
      <c r="AE140" s="19">
        <v>6.3</v>
      </c>
      <c r="AF140" s="19">
        <v>0</v>
      </c>
      <c r="AG140" s="19">
        <v>5.2</v>
      </c>
      <c r="AH140" s="19">
        <v>6.7</v>
      </c>
      <c r="AI140" s="19">
        <v>1.29</v>
      </c>
      <c r="AJ140" s="19" t="s">
        <v>37</v>
      </c>
      <c r="AK140" s="19" t="s">
        <v>595</v>
      </c>
      <c r="AL140" s="19" t="s">
        <v>838</v>
      </c>
      <c r="AM140" s="19" t="s">
        <v>824</v>
      </c>
      <c r="AN140" s="108">
        <f>IFERROR(VLOOKUP(B141,'MIN Salary 2024'!$A$1:$I$40,7,FALSE),"No salary data")</f>
        <v>159120</v>
      </c>
      <c r="AO140" s="1">
        <f t="shared" si="2"/>
        <v>795600</v>
      </c>
    </row>
    <row r="141" spans="1:41" x14ac:dyDescent="0.25">
      <c r="A141" s="19">
        <v>18</v>
      </c>
      <c r="B141" s="19" t="s">
        <v>689</v>
      </c>
      <c r="C141" s="19">
        <v>28</v>
      </c>
      <c r="D141" s="19" t="s">
        <v>37</v>
      </c>
      <c r="E141" s="19">
        <v>0.8</v>
      </c>
      <c r="F141" s="19">
        <v>1</v>
      </c>
      <c r="G141" s="19">
        <v>1</v>
      </c>
      <c r="H141" s="19">
        <v>0.5</v>
      </c>
      <c r="I141" s="19">
        <v>1.77</v>
      </c>
      <c r="J141" s="19">
        <v>12</v>
      </c>
      <c r="K141" s="19">
        <v>0</v>
      </c>
      <c r="L141" s="19">
        <v>4</v>
      </c>
      <c r="M141" s="19">
        <v>0</v>
      </c>
      <c r="N141" s="19">
        <v>0</v>
      </c>
      <c r="O141" s="19">
        <v>0</v>
      </c>
      <c r="P141" s="19">
        <v>20.100000000000001</v>
      </c>
      <c r="Q141" s="19">
        <v>17</v>
      </c>
      <c r="R141" s="19">
        <v>5</v>
      </c>
      <c r="S141" s="19">
        <v>4</v>
      </c>
      <c r="T141" s="19">
        <v>2</v>
      </c>
      <c r="U141" s="19">
        <v>8</v>
      </c>
      <c r="V141" s="19">
        <v>2</v>
      </c>
      <c r="W141" s="19">
        <v>18</v>
      </c>
      <c r="X141" s="19">
        <v>1</v>
      </c>
      <c r="Y141" s="19">
        <v>0</v>
      </c>
      <c r="Z141" s="19">
        <v>0</v>
      </c>
      <c r="AA141" s="19">
        <v>85</v>
      </c>
      <c r="AB141" s="19">
        <v>238</v>
      </c>
      <c r="AC141" s="19">
        <v>4</v>
      </c>
      <c r="AD141" s="19">
        <v>1.23</v>
      </c>
      <c r="AE141" s="19">
        <v>7.5</v>
      </c>
      <c r="AF141" s="19">
        <v>0.9</v>
      </c>
      <c r="AG141" s="19">
        <v>3.5</v>
      </c>
      <c r="AH141" s="19">
        <v>8</v>
      </c>
      <c r="AI141" s="19">
        <v>2.25</v>
      </c>
      <c r="AJ141" s="19" t="s">
        <v>37</v>
      </c>
      <c r="AK141" s="19" t="s">
        <v>690</v>
      </c>
      <c r="AL141" s="19" t="s">
        <v>838</v>
      </c>
      <c r="AM141" s="19" t="s">
        <v>824</v>
      </c>
      <c r="AN141" s="108">
        <f>IFERROR(VLOOKUP(B142,'MIN Salary 2024'!$A$1:$I$40,7,FALSE),"No salary data")</f>
        <v>179010</v>
      </c>
      <c r="AO141" s="1">
        <f t="shared" si="2"/>
        <v>223762.5</v>
      </c>
    </row>
    <row r="142" spans="1:41" x14ac:dyDescent="0.25">
      <c r="A142" s="19">
        <v>19</v>
      </c>
      <c r="B142" s="19" t="s">
        <v>691</v>
      </c>
      <c r="C142" s="19">
        <v>24</v>
      </c>
      <c r="D142" s="19" t="s">
        <v>37</v>
      </c>
      <c r="E142" s="19">
        <v>0.3</v>
      </c>
      <c r="F142" s="19">
        <v>1</v>
      </c>
      <c r="G142" s="19">
        <v>1</v>
      </c>
      <c r="H142" s="19">
        <v>0.5</v>
      </c>
      <c r="I142" s="19">
        <v>3.26</v>
      </c>
      <c r="J142" s="19">
        <v>16</v>
      </c>
      <c r="K142" s="19">
        <v>1</v>
      </c>
      <c r="L142" s="19">
        <v>6</v>
      </c>
      <c r="M142" s="19">
        <v>0</v>
      </c>
      <c r="N142" s="19">
        <v>0</v>
      </c>
      <c r="O142" s="19">
        <v>0</v>
      </c>
      <c r="P142" s="19">
        <v>19.100000000000001</v>
      </c>
      <c r="Q142" s="19">
        <v>20</v>
      </c>
      <c r="R142" s="19">
        <v>8</v>
      </c>
      <c r="S142" s="19">
        <v>7</v>
      </c>
      <c r="T142" s="19">
        <v>2</v>
      </c>
      <c r="U142" s="19">
        <v>5</v>
      </c>
      <c r="V142" s="19">
        <v>1</v>
      </c>
      <c r="W142" s="19">
        <v>15</v>
      </c>
      <c r="X142" s="19">
        <v>2</v>
      </c>
      <c r="Y142" s="19">
        <v>0</v>
      </c>
      <c r="Z142" s="19">
        <v>1</v>
      </c>
      <c r="AA142" s="19">
        <v>82</v>
      </c>
      <c r="AB142" s="19">
        <v>129</v>
      </c>
      <c r="AC142" s="19">
        <v>4.05</v>
      </c>
      <c r="AD142" s="19">
        <v>1.2929999999999999</v>
      </c>
      <c r="AE142" s="19">
        <v>9.3000000000000007</v>
      </c>
      <c r="AF142" s="19">
        <v>0.9</v>
      </c>
      <c r="AG142" s="19">
        <v>2.2999999999999998</v>
      </c>
      <c r="AH142" s="19">
        <v>7</v>
      </c>
      <c r="AI142" s="19">
        <v>3</v>
      </c>
      <c r="AJ142" s="19" t="s">
        <v>37</v>
      </c>
      <c r="AK142" s="19" t="s">
        <v>692</v>
      </c>
      <c r="AL142" s="19" t="s">
        <v>838</v>
      </c>
      <c r="AM142" s="19" t="s">
        <v>824</v>
      </c>
      <c r="AN142" s="108">
        <f>IFERROR(VLOOKUP(B143,'MIN Salary 2024'!$A$1:$I$40,7,FALSE),"No salary data")</f>
        <v>177408</v>
      </c>
      <c r="AO142" s="1">
        <f t="shared" si="2"/>
        <v>591360</v>
      </c>
    </row>
    <row r="143" spans="1:41" x14ac:dyDescent="0.25">
      <c r="A143" s="19">
        <v>20</v>
      </c>
      <c r="B143" s="19" t="s">
        <v>693</v>
      </c>
      <c r="C143" s="19">
        <v>34</v>
      </c>
      <c r="D143" s="19" t="s">
        <v>37</v>
      </c>
      <c r="E143" s="19">
        <v>0.2</v>
      </c>
      <c r="F143" s="19">
        <v>0</v>
      </c>
      <c r="G143" s="19">
        <v>0</v>
      </c>
      <c r="H143" s="19"/>
      <c r="I143" s="19">
        <v>3.86</v>
      </c>
      <c r="J143" s="19">
        <v>13</v>
      </c>
      <c r="K143" s="19">
        <v>0</v>
      </c>
      <c r="L143" s="19">
        <v>4</v>
      </c>
      <c r="M143" s="19">
        <v>0</v>
      </c>
      <c r="N143" s="19">
        <v>0</v>
      </c>
      <c r="O143" s="19">
        <v>0</v>
      </c>
      <c r="P143" s="19">
        <v>16.100000000000001</v>
      </c>
      <c r="Q143" s="19">
        <v>18</v>
      </c>
      <c r="R143" s="19">
        <v>7</v>
      </c>
      <c r="S143" s="19">
        <v>7</v>
      </c>
      <c r="T143" s="19">
        <v>0</v>
      </c>
      <c r="U143" s="19">
        <v>7</v>
      </c>
      <c r="V143" s="19">
        <v>0</v>
      </c>
      <c r="W143" s="19">
        <v>22</v>
      </c>
      <c r="X143" s="19">
        <v>2</v>
      </c>
      <c r="Y143" s="19">
        <v>0</v>
      </c>
      <c r="Z143" s="19">
        <v>0</v>
      </c>
      <c r="AA143" s="19">
        <v>73</v>
      </c>
      <c r="AB143" s="19">
        <v>110</v>
      </c>
      <c r="AC143" s="19">
        <v>2.13</v>
      </c>
      <c r="AD143" s="19">
        <v>1.5309999999999999</v>
      </c>
      <c r="AE143" s="19">
        <v>9.9</v>
      </c>
      <c r="AF143" s="19">
        <v>0</v>
      </c>
      <c r="AG143" s="19">
        <v>3.9</v>
      </c>
      <c r="AH143" s="19">
        <v>12.1</v>
      </c>
      <c r="AI143" s="19">
        <v>3.14</v>
      </c>
      <c r="AJ143" s="19" t="s">
        <v>37</v>
      </c>
      <c r="AK143" s="19" t="s">
        <v>694</v>
      </c>
      <c r="AL143" s="19" t="s">
        <v>838</v>
      </c>
      <c r="AM143" s="19" t="s">
        <v>824</v>
      </c>
      <c r="AN143" s="108">
        <f>IFERROR(VLOOKUP(B144,'MIN Salary 2024'!$A$1:$I$40,7,FALSE),"No salary data")</f>
        <v>900000</v>
      </c>
      <c r="AO143" s="1">
        <f t="shared" si="2"/>
        <v>4500000</v>
      </c>
    </row>
    <row r="144" spans="1:41" hidden="1" x14ac:dyDescent="0.25">
      <c r="A144" s="19">
        <v>21</v>
      </c>
      <c r="B144" s="19" t="s">
        <v>695</v>
      </c>
      <c r="C144" s="19">
        <v>32</v>
      </c>
      <c r="D144" s="19" t="s">
        <v>37</v>
      </c>
      <c r="E144" s="19">
        <v>-0.1</v>
      </c>
      <c r="F144" s="19">
        <v>0</v>
      </c>
      <c r="G144" s="19">
        <v>0</v>
      </c>
      <c r="H144" s="19"/>
      <c r="I144" s="19">
        <v>5.17</v>
      </c>
      <c r="J144" s="19">
        <v>16</v>
      </c>
      <c r="K144" s="19">
        <v>0</v>
      </c>
      <c r="L144" s="19">
        <v>1</v>
      </c>
      <c r="M144" s="19">
        <v>0</v>
      </c>
      <c r="N144" s="19">
        <v>0</v>
      </c>
      <c r="O144" s="19">
        <v>0</v>
      </c>
      <c r="P144" s="19">
        <v>15.2</v>
      </c>
      <c r="Q144" s="19">
        <v>15</v>
      </c>
      <c r="R144" s="19">
        <v>9</v>
      </c>
      <c r="S144" s="19">
        <v>9</v>
      </c>
      <c r="T144" s="19">
        <v>2</v>
      </c>
      <c r="U144" s="19">
        <v>8</v>
      </c>
      <c r="V144" s="19">
        <v>0</v>
      </c>
      <c r="W144" s="19">
        <v>20</v>
      </c>
      <c r="X144" s="19">
        <v>0</v>
      </c>
      <c r="Y144" s="19">
        <v>0</v>
      </c>
      <c r="Z144" s="19">
        <v>0</v>
      </c>
      <c r="AA144" s="19">
        <v>67</v>
      </c>
      <c r="AB144" s="19">
        <v>82</v>
      </c>
      <c r="AC144" s="19">
        <v>3.8</v>
      </c>
      <c r="AD144" s="19">
        <v>1.468</v>
      </c>
      <c r="AE144" s="19">
        <v>8.6</v>
      </c>
      <c r="AF144" s="19">
        <v>1.1000000000000001</v>
      </c>
      <c r="AG144" s="19">
        <v>4.5999999999999996</v>
      </c>
      <c r="AH144" s="19">
        <v>11.5</v>
      </c>
      <c r="AI144" s="19">
        <v>2.5</v>
      </c>
      <c r="AJ144" s="19" t="s">
        <v>37</v>
      </c>
      <c r="AK144" s="19" t="s">
        <v>696</v>
      </c>
      <c r="AL144" s="19" t="s">
        <v>838</v>
      </c>
      <c r="AM144" s="19" t="s">
        <v>824</v>
      </c>
      <c r="AN144" s="108" t="str">
        <f>IFERROR(VLOOKUP(B145,'MIN Salary 2024'!$A$1:$I$40,7,FALSE),"No salary data")</f>
        <v>No salary data</v>
      </c>
      <c r="AO144" s="1" t="e">
        <f t="shared" si="2"/>
        <v>#VALUE!</v>
      </c>
    </row>
    <row r="145" spans="1:41" hidden="1" x14ac:dyDescent="0.25">
      <c r="A145" s="19">
        <v>22</v>
      </c>
      <c r="B145" s="19" t="s">
        <v>697</v>
      </c>
      <c r="C145" s="19">
        <v>31</v>
      </c>
      <c r="D145" s="19" t="s">
        <v>37</v>
      </c>
      <c r="E145" s="19">
        <v>0.1</v>
      </c>
      <c r="F145" s="19">
        <v>0</v>
      </c>
      <c r="G145" s="19">
        <v>1</v>
      </c>
      <c r="H145" s="19">
        <v>0</v>
      </c>
      <c r="I145" s="19">
        <v>4.1500000000000004</v>
      </c>
      <c r="J145" s="19">
        <v>10</v>
      </c>
      <c r="K145" s="19">
        <v>0</v>
      </c>
      <c r="L145" s="19">
        <v>3</v>
      </c>
      <c r="M145" s="19">
        <v>0</v>
      </c>
      <c r="N145" s="19">
        <v>0</v>
      </c>
      <c r="O145" s="19">
        <v>1</v>
      </c>
      <c r="P145" s="19">
        <v>13</v>
      </c>
      <c r="Q145" s="19">
        <v>8</v>
      </c>
      <c r="R145" s="19">
        <v>6</v>
      </c>
      <c r="S145" s="19">
        <v>6</v>
      </c>
      <c r="T145" s="19">
        <v>0</v>
      </c>
      <c r="U145" s="19">
        <v>11</v>
      </c>
      <c r="V145" s="19">
        <v>0</v>
      </c>
      <c r="W145" s="19">
        <v>13</v>
      </c>
      <c r="X145" s="19">
        <v>2</v>
      </c>
      <c r="Y145" s="19">
        <v>0</v>
      </c>
      <c r="Z145" s="19">
        <v>7</v>
      </c>
      <c r="AA145" s="19">
        <v>59</v>
      </c>
      <c r="AB145" s="19">
        <v>103</v>
      </c>
      <c r="AC145" s="19">
        <v>4.17</v>
      </c>
      <c r="AD145" s="19">
        <v>1.462</v>
      </c>
      <c r="AE145" s="19">
        <v>5.5</v>
      </c>
      <c r="AF145" s="19">
        <v>0</v>
      </c>
      <c r="AG145" s="19">
        <v>7.6</v>
      </c>
      <c r="AH145" s="19">
        <v>9</v>
      </c>
      <c r="AI145" s="19">
        <v>1.18</v>
      </c>
      <c r="AJ145" s="19" t="s">
        <v>37</v>
      </c>
      <c r="AK145" s="19" t="s">
        <v>698</v>
      </c>
      <c r="AL145" s="19" t="s">
        <v>838</v>
      </c>
      <c r="AM145" s="19" t="s">
        <v>824</v>
      </c>
      <c r="AN145" s="108" t="str">
        <f>IFERROR(VLOOKUP(B146,'MIN Salary 2024'!$A$1:$I$40,7,FALSE),"No salary data")</f>
        <v>No salary data</v>
      </c>
      <c r="AO145" s="1" t="e">
        <f t="shared" si="2"/>
        <v>#VALUE!</v>
      </c>
    </row>
    <row r="146" spans="1:41" x14ac:dyDescent="0.25">
      <c r="A146" s="19">
        <v>23</v>
      </c>
      <c r="B146" s="19" t="s">
        <v>652</v>
      </c>
      <c r="C146" s="19">
        <v>30</v>
      </c>
      <c r="D146" s="19" t="s">
        <v>37</v>
      </c>
      <c r="E146" s="19">
        <v>0.2</v>
      </c>
      <c r="F146" s="19">
        <v>0</v>
      </c>
      <c r="G146" s="19">
        <v>0</v>
      </c>
      <c r="H146" s="19"/>
      <c r="I146" s="19">
        <v>2.7</v>
      </c>
      <c r="J146" s="19">
        <v>7</v>
      </c>
      <c r="K146" s="19">
        <v>0</v>
      </c>
      <c r="L146" s="19">
        <v>3</v>
      </c>
      <c r="M146" s="19">
        <v>0</v>
      </c>
      <c r="N146" s="19">
        <v>0</v>
      </c>
      <c r="O146" s="19">
        <v>0</v>
      </c>
      <c r="P146" s="19">
        <v>10</v>
      </c>
      <c r="Q146" s="19">
        <v>8</v>
      </c>
      <c r="R146" s="19">
        <v>3</v>
      </c>
      <c r="S146" s="19">
        <v>3</v>
      </c>
      <c r="T146" s="19">
        <v>0</v>
      </c>
      <c r="U146" s="19">
        <v>8</v>
      </c>
      <c r="V146" s="19">
        <v>0</v>
      </c>
      <c r="W146" s="19">
        <v>6</v>
      </c>
      <c r="X146" s="19">
        <v>0</v>
      </c>
      <c r="Y146" s="19">
        <v>0</v>
      </c>
      <c r="Z146" s="19">
        <v>1</v>
      </c>
      <c r="AA146" s="19">
        <v>43</v>
      </c>
      <c r="AB146" s="19">
        <v>159</v>
      </c>
      <c r="AC146" s="19">
        <v>4.37</v>
      </c>
      <c r="AD146" s="19">
        <v>1.6</v>
      </c>
      <c r="AE146" s="19">
        <v>7.2</v>
      </c>
      <c r="AF146" s="19">
        <v>0</v>
      </c>
      <c r="AG146" s="19">
        <v>7.2</v>
      </c>
      <c r="AH146" s="19">
        <v>5.4</v>
      </c>
      <c r="AI146" s="19">
        <v>0.75</v>
      </c>
      <c r="AJ146" s="19" t="s">
        <v>37</v>
      </c>
      <c r="AK146" s="19" t="s">
        <v>699</v>
      </c>
      <c r="AL146" s="19" t="s">
        <v>838</v>
      </c>
      <c r="AM146" s="19" t="s">
        <v>824</v>
      </c>
      <c r="AN146" s="108">
        <f>IFERROR(VLOOKUP(B147,'MIN Salary 2024'!$A$1:$I$40,7,FALSE),"No salary data")</f>
        <v>2250000</v>
      </c>
      <c r="AO146" s="1">
        <f t="shared" si="2"/>
        <v>11250000</v>
      </c>
    </row>
    <row r="147" spans="1:41" hidden="1" x14ac:dyDescent="0.25">
      <c r="A147" s="19">
        <v>24</v>
      </c>
      <c r="B147" s="19" t="s">
        <v>700</v>
      </c>
      <c r="C147" s="19">
        <v>29</v>
      </c>
      <c r="D147" s="19" t="s">
        <v>37</v>
      </c>
      <c r="E147" s="19">
        <v>0</v>
      </c>
      <c r="F147" s="19">
        <v>0</v>
      </c>
      <c r="G147" s="19">
        <v>0</v>
      </c>
      <c r="H147" s="19"/>
      <c r="I147" s="19">
        <v>5.59</v>
      </c>
      <c r="J147" s="19">
        <v>5</v>
      </c>
      <c r="K147" s="19">
        <v>0</v>
      </c>
      <c r="L147" s="19">
        <v>3</v>
      </c>
      <c r="M147" s="19">
        <v>0</v>
      </c>
      <c r="N147" s="19">
        <v>0</v>
      </c>
      <c r="O147" s="19">
        <v>0</v>
      </c>
      <c r="P147" s="19">
        <v>9.1999999999999993</v>
      </c>
      <c r="Q147" s="19">
        <v>11</v>
      </c>
      <c r="R147" s="19">
        <v>6</v>
      </c>
      <c r="S147" s="19">
        <v>6</v>
      </c>
      <c r="T147" s="19">
        <v>1</v>
      </c>
      <c r="U147" s="19">
        <v>5</v>
      </c>
      <c r="V147" s="19">
        <v>1</v>
      </c>
      <c r="W147" s="19">
        <v>7</v>
      </c>
      <c r="X147" s="19">
        <v>0</v>
      </c>
      <c r="Y147" s="19">
        <v>0</v>
      </c>
      <c r="Z147" s="19">
        <v>1</v>
      </c>
      <c r="AA147" s="19">
        <v>45</v>
      </c>
      <c r="AB147" s="19">
        <v>77</v>
      </c>
      <c r="AC147" s="19">
        <v>4.6100000000000003</v>
      </c>
      <c r="AD147" s="19">
        <v>1.655</v>
      </c>
      <c r="AE147" s="19">
        <v>10.199999999999999</v>
      </c>
      <c r="AF147" s="19">
        <v>0.9</v>
      </c>
      <c r="AG147" s="19">
        <v>4.7</v>
      </c>
      <c r="AH147" s="19">
        <v>6.5</v>
      </c>
      <c r="AI147" s="19">
        <v>1.4</v>
      </c>
      <c r="AJ147" s="19" t="s">
        <v>37</v>
      </c>
      <c r="AK147" s="19" t="s">
        <v>701</v>
      </c>
      <c r="AL147" s="19" t="s">
        <v>838</v>
      </c>
      <c r="AM147" s="19" t="s">
        <v>824</v>
      </c>
      <c r="AN147" s="108" t="str">
        <f>IFERROR(VLOOKUP(B148,'MIN Salary 2024'!$A$1:$I$40,7,FALSE),"No salary data")</f>
        <v>No salary data</v>
      </c>
      <c r="AO147" s="1" t="e">
        <f t="shared" si="2"/>
        <v>#VALUE!</v>
      </c>
    </row>
    <row r="148" spans="1:41" hidden="1" x14ac:dyDescent="0.25">
      <c r="A148" s="19">
        <v>25</v>
      </c>
      <c r="B148" s="19" t="s">
        <v>702</v>
      </c>
      <c r="C148" s="19">
        <v>27</v>
      </c>
      <c r="D148" s="19" t="s">
        <v>37</v>
      </c>
      <c r="E148" s="19">
        <v>0.1</v>
      </c>
      <c r="F148" s="19">
        <v>0</v>
      </c>
      <c r="G148" s="19">
        <v>0</v>
      </c>
      <c r="H148" s="19"/>
      <c r="I148" s="19">
        <v>3</v>
      </c>
      <c r="J148" s="19">
        <v>4</v>
      </c>
      <c r="K148" s="19">
        <v>0</v>
      </c>
      <c r="L148" s="19">
        <v>2</v>
      </c>
      <c r="M148" s="19">
        <v>0</v>
      </c>
      <c r="N148" s="19">
        <v>0</v>
      </c>
      <c r="O148" s="19">
        <v>0</v>
      </c>
      <c r="P148" s="19">
        <v>9</v>
      </c>
      <c r="Q148" s="19">
        <v>7</v>
      </c>
      <c r="R148" s="19">
        <v>4</v>
      </c>
      <c r="S148" s="19">
        <v>3</v>
      </c>
      <c r="T148" s="19">
        <v>0</v>
      </c>
      <c r="U148" s="19">
        <v>1</v>
      </c>
      <c r="V148" s="19">
        <v>0</v>
      </c>
      <c r="W148" s="19">
        <v>10</v>
      </c>
      <c r="X148" s="19">
        <v>2</v>
      </c>
      <c r="Y148" s="19">
        <v>0</v>
      </c>
      <c r="Z148" s="19">
        <v>0</v>
      </c>
      <c r="AA148" s="19">
        <v>38</v>
      </c>
      <c r="AB148" s="19">
        <v>144</v>
      </c>
      <c r="AC148" s="19">
        <v>1.94</v>
      </c>
      <c r="AD148" s="19">
        <v>0.88900000000000001</v>
      </c>
      <c r="AE148" s="19">
        <v>7</v>
      </c>
      <c r="AF148" s="19">
        <v>0</v>
      </c>
      <c r="AG148" s="19">
        <v>1</v>
      </c>
      <c r="AH148" s="19">
        <v>10</v>
      </c>
      <c r="AI148" s="19">
        <v>10</v>
      </c>
      <c r="AJ148" s="19" t="s">
        <v>37</v>
      </c>
      <c r="AK148" s="19" t="s">
        <v>703</v>
      </c>
      <c r="AL148" s="19" t="s">
        <v>838</v>
      </c>
      <c r="AM148" s="19" t="s">
        <v>824</v>
      </c>
      <c r="AN148" s="108" t="str">
        <f>IFERROR(VLOOKUP(B149,'MIN Salary 2024'!$A$1:$I$40,7,FALSE),"No salary data")</f>
        <v>No salary data</v>
      </c>
      <c r="AO148" s="1" t="e">
        <f t="shared" si="2"/>
        <v>#VALUE!</v>
      </c>
    </row>
    <row r="149" spans="1:41" hidden="1" x14ac:dyDescent="0.25">
      <c r="A149" s="19">
        <v>26</v>
      </c>
      <c r="B149" s="19" t="s">
        <v>704</v>
      </c>
      <c r="C149" s="19">
        <v>33</v>
      </c>
      <c r="D149" s="19" t="s">
        <v>37</v>
      </c>
      <c r="E149" s="19">
        <v>0.2</v>
      </c>
      <c r="F149" s="19">
        <v>0</v>
      </c>
      <c r="G149" s="19">
        <v>0</v>
      </c>
      <c r="H149" s="19"/>
      <c r="I149" s="19">
        <v>2.35</v>
      </c>
      <c r="J149" s="19">
        <v>5</v>
      </c>
      <c r="K149" s="19">
        <v>0</v>
      </c>
      <c r="L149" s="19">
        <v>1</v>
      </c>
      <c r="M149" s="19">
        <v>0</v>
      </c>
      <c r="N149" s="19">
        <v>0</v>
      </c>
      <c r="O149" s="19">
        <v>0</v>
      </c>
      <c r="P149" s="19">
        <v>7.2</v>
      </c>
      <c r="Q149" s="19">
        <v>2</v>
      </c>
      <c r="R149" s="19">
        <v>2</v>
      </c>
      <c r="S149" s="19">
        <v>2</v>
      </c>
      <c r="T149" s="19">
        <v>1</v>
      </c>
      <c r="U149" s="19">
        <v>4</v>
      </c>
      <c r="V149" s="19">
        <v>0</v>
      </c>
      <c r="W149" s="19">
        <v>6</v>
      </c>
      <c r="X149" s="19">
        <v>2</v>
      </c>
      <c r="Y149" s="19">
        <v>0</v>
      </c>
      <c r="Z149" s="19">
        <v>0</v>
      </c>
      <c r="AA149" s="19">
        <v>31</v>
      </c>
      <c r="AB149" s="19">
        <v>185</v>
      </c>
      <c r="AC149" s="19">
        <v>5.64</v>
      </c>
      <c r="AD149" s="19">
        <v>0.78300000000000003</v>
      </c>
      <c r="AE149" s="19">
        <v>2.2999999999999998</v>
      </c>
      <c r="AF149" s="19">
        <v>1.2</v>
      </c>
      <c r="AG149" s="19">
        <v>4.7</v>
      </c>
      <c r="AH149" s="19">
        <v>7</v>
      </c>
      <c r="AI149" s="19">
        <v>1.5</v>
      </c>
      <c r="AJ149" s="19" t="s">
        <v>37</v>
      </c>
      <c r="AK149" s="19" t="s">
        <v>705</v>
      </c>
      <c r="AL149" s="19" t="s">
        <v>838</v>
      </c>
      <c r="AM149" s="19" t="s">
        <v>824</v>
      </c>
      <c r="AN149" s="108" t="str">
        <f>IFERROR(VLOOKUP(B150,'MIN Salary 2024'!$A$1:$I$40,7,FALSE),"No salary data")</f>
        <v>No salary data</v>
      </c>
      <c r="AO149" s="1" t="e">
        <f t="shared" si="2"/>
        <v>#VALUE!</v>
      </c>
    </row>
    <row r="150" spans="1:41" x14ac:dyDescent="0.25">
      <c r="A150" s="19">
        <v>27</v>
      </c>
      <c r="B150" s="19" t="s">
        <v>706</v>
      </c>
      <c r="C150" s="19">
        <v>30</v>
      </c>
      <c r="D150" s="19" t="s">
        <v>37</v>
      </c>
      <c r="E150" s="19">
        <v>0</v>
      </c>
      <c r="F150" s="19">
        <v>0</v>
      </c>
      <c r="G150" s="19">
        <v>0</v>
      </c>
      <c r="H150" s="19"/>
      <c r="I150" s="19">
        <v>4.5</v>
      </c>
      <c r="J150" s="19">
        <v>2</v>
      </c>
      <c r="K150" s="19">
        <v>0</v>
      </c>
      <c r="L150" s="19">
        <v>1</v>
      </c>
      <c r="M150" s="19">
        <v>0</v>
      </c>
      <c r="N150" s="19">
        <v>0</v>
      </c>
      <c r="O150" s="19">
        <v>0</v>
      </c>
      <c r="P150" s="19">
        <v>4</v>
      </c>
      <c r="Q150" s="19">
        <v>6</v>
      </c>
      <c r="R150" s="19">
        <v>2</v>
      </c>
      <c r="S150" s="19">
        <v>2</v>
      </c>
      <c r="T150" s="19">
        <v>0</v>
      </c>
      <c r="U150" s="19">
        <v>2</v>
      </c>
      <c r="V150" s="19">
        <v>0</v>
      </c>
      <c r="W150" s="19">
        <v>1</v>
      </c>
      <c r="X150" s="19">
        <v>0</v>
      </c>
      <c r="Y150" s="19">
        <v>0</v>
      </c>
      <c r="Z150" s="19">
        <v>0</v>
      </c>
      <c r="AA150" s="19">
        <v>20</v>
      </c>
      <c r="AB150" s="19">
        <v>101</v>
      </c>
      <c r="AC150" s="19">
        <v>4.17</v>
      </c>
      <c r="AD150" s="19">
        <v>2</v>
      </c>
      <c r="AE150" s="19">
        <v>13.5</v>
      </c>
      <c r="AF150" s="19">
        <v>0</v>
      </c>
      <c r="AG150" s="19">
        <v>4.5</v>
      </c>
      <c r="AH150" s="19">
        <v>2.2999999999999998</v>
      </c>
      <c r="AI150" s="19">
        <v>0.5</v>
      </c>
      <c r="AJ150" s="19" t="s">
        <v>37</v>
      </c>
      <c r="AK150" s="19" t="s">
        <v>707</v>
      </c>
      <c r="AL150" s="19" t="s">
        <v>838</v>
      </c>
      <c r="AM150" s="19" t="s">
        <v>824</v>
      </c>
      <c r="AN150" s="108">
        <f>IFERROR(VLOOKUP(B151,'MIN Salary 2024'!$A$1:$I$40,7,FALSE),"No salary data")</f>
        <v>6250000</v>
      </c>
      <c r="AO150" s="1" t="e">
        <f t="shared" si="2"/>
        <v>#DIV/0!</v>
      </c>
    </row>
    <row r="151" spans="1:41" x14ac:dyDescent="0.25">
      <c r="A151" s="19">
        <v>28</v>
      </c>
      <c r="B151" s="19" t="s">
        <v>637</v>
      </c>
      <c r="C151" s="19">
        <v>33</v>
      </c>
      <c r="D151" s="19" t="s">
        <v>37</v>
      </c>
      <c r="E151" s="19">
        <v>0</v>
      </c>
      <c r="F151" s="19">
        <v>0</v>
      </c>
      <c r="G151" s="19">
        <v>0</v>
      </c>
      <c r="H151" s="19"/>
      <c r="I151" s="19">
        <v>6.75</v>
      </c>
      <c r="J151" s="19">
        <v>3</v>
      </c>
      <c r="K151" s="19">
        <v>0</v>
      </c>
      <c r="L151" s="19">
        <v>3</v>
      </c>
      <c r="M151" s="19">
        <v>0</v>
      </c>
      <c r="N151" s="19">
        <v>0</v>
      </c>
      <c r="O151" s="19">
        <v>0</v>
      </c>
      <c r="P151" s="19">
        <v>4</v>
      </c>
      <c r="Q151" s="19">
        <v>7</v>
      </c>
      <c r="R151" s="19">
        <v>3</v>
      </c>
      <c r="S151" s="19">
        <v>3</v>
      </c>
      <c r="T151" s="19">
        <v>0</v>
      </c>
      <c r="U151" s="19">
        <v>1</v>
      </c>
      <c r="V151" s="19">
        <v>0</v>
      </c>
      <c r="W151" s="19">
        <v>0</v>
      </c>
      <c r="X151" s="19">
        <v>0</v>
      </c>
      <c r="Y151" s="19">
        <v>0</v>
      </c>
      <c r="Z151" s="19">
        <v>0</v>
      </c>
      <c r="AA151" s="19">
        <v>19</v>
      </c>
      <c r="AB151" s="19">
        <v>67</v>
      </c>
      <c r="AC151" s="19">
        <v>3.92</v>
      </c>
      <c r="AD151" s="19">
        <v>2</v>
      </c>
      <c r="AE151" s="19">
        <v>15.8</v>
      </c>
      <c r="AF151" s="19">
        <v>0</v>
      </c>
      <c r="AG151" s="19">
        <v>2.2999999999999998</v>
      </c>
      <c r="AH151" s="19">
        <v>0</v>
      </c>
      <c r="AI151" s="19">
        <v>0</v>
      </c>
      <c r="AJ151" s="19" t="s">
        <v>37</v>
      </c>
      <c r="AK151" s="19" t="s">
        <v>639</v>
      </c>
      <c r="AL151" s="19" t="s">
        <v>838</v>
      </c>
      <c r="AM151" s="19" t="s">
        <v>824</v>
      </c>
      <c r="AN151" s="108">
        <f>IFERROR(VLOOKUP(B152,'MIN Salary 2024'!$A$1:$I$40,7,FALSE),"No salary data")</f>
        <v>750000</v>
      </c>
      <c r="AO151" s="1" t="e">
        <f t="shared" si="2"/>
        <v>#DIV/0!</v>
      </c>
    </row>
    <row r="152" spans="1:41" hidden="1" x14ac:dyDescent="0.25">
      <c r="A152" s="19">
        <v>29</v>
      </c>
      <c r="B152" s="19" t="s">
        <v>708</v>
      </c>
      <c r="C152" s="19">
        <v>27</v>
      </c>
      <c r="D152" s="19" t="s">
        <v>37</v>
      </c>
      <c r="E152" s="19">
        <v>0.1</v>
      </c>
      <c r="F152" s="19">
        <v>1</v>
      </c>
      <c r="G152" s="19">
        <v>0</v>
      </c>
      <c r="H152" s="19">
        <v>1</v>
      </c>
      <c r="I152" s="19">
        <v>2.25</v>
      </c>
      <c r="J152" s="19">
        <v>2</v>
      </c>
      <c r="K152" s="19">
        <v>0</v>
      </c>
      <c r="L152" s="19">
        <v>0</v>
      </c>
      <c r="M152" s="19">
        <v>0</v>
      </c>
      <c r="N152" s="19">
        <v>0</v>
      </c>
      <c r="O152" s="19">
        <v>0</v>
      </c>
      <c r="P152" s="19">
        <v>4</v>
      </c>
      <c r="Q152" s="19">
        <v>2</v>
      </c>
      <c r="R152" s="19">
        <v>1</v>
      </c>
      <c r="S152" s="19">
        <v>1</v>
      </c>
      <c r="T152" s="19">
        <v>1</v>
      </c>
      <c r="U152" s="19">
        <v>1</v>
      </c>
      <c r="V152" s="19">
        <v>0</v>
      </c>
      <c r="W152" s="19">
        <v>3</v>
      </c>
      <c r="X152" s="19">
        <v>0</v>
      </c>
      <c r="Y152" s="19">
        <v>0</v>
      </c>
      <c r="Z152" s="19">
        <v>0</v>
      </c>
      <c r="AA152" s="19">
        <v>15</v>
      </c>
      <c r="AB152" s="19">
        <v>201</v>
      </c>
      <c r="AC152" s="19">
        <v>5.67</v>
      </c>
      <c r="AD152" s="19">
        <v>0.75</v>
      </c>
      <c r="AE152" s="19">
        <v>4.5</v>
      </c>
      <c r="AF152" s="19">
        <v>2.2999999999999998</v>
      </c>
      <c r="AG152" s="19">
        <v>2.2999999999999998</v>
      </c>
      <c r="AH152" s="19">
        <v>6.8</v>
      </c>
      <c r="AI152" s="19">
        <v>3</v>
      </c>
      <c r="AJ152" s="19" t="s">
        <v>37</v>
      </c>
      <c r="AK152" s="19" t="s">
        <v>709</v>
      </c>
      <c r="AL152" s="19" t="s">
        <v>838</v>
      </c>
      <c r="AM152" s="19" t="s">
        <v>824</v>
      </c>
      <c r="AN152" s="108" t="str">
        <f>IFERROR(VLOOKUP(B153,'MIN Salary 2024'!$A$1:$I$40,7,FALSE),"No salary data")</f>
        <v>No salary data</v>
      </c>
      <c r="AO152" s="1" t="e">
        <f t="shared" si="2"/>
        <v>#VALUE!</v>
      </c>
    </row>
    <row r="153" spans="1:41" hidden="1" x14ac:dyDescent="0.25">
      <c r="A153" s="19">
        <v>30</v>
      </c>
      <c r="B153" s="19" t="s">
        <v>710</v>
      </c>
      <c r="C153" s="19">
        <v>30</v>
      </c>
      <c r="D153" s="19" t="s">
        <v>37</v>
      </c>
      <c r="E153" s="19">
        <v>-0.3</v>
      </c>
      <c r="F153" s="19">
        <v>0</v>
      </c>
      <c r="G153" s="19">
        <v>1</v>
      </c>
      <c r="H153" s="19">
        <v>0</v>
      </c>
      <c r="I153" s="19">
        <v>12.27</v>
      </c>
      <c r="J153" s="19">
        <v>4</v>
      </c>
      <c r="K153" s="19">
        <v>0</v>
      </c>
      <c r="L153" s="19">
        <v>1</v>
      </c>
      <c r="M153" s="19">
        <v>0</v>
      </c>
      <c r="N153" s="19">
        <v>0</v>
      </c>
      <c r="O153" s="19">
        <v>0</v>
      </c>
      <c r="P153" s="19">
        <v>3.2</v>
      </c>
      <c r="Q153" s="19">
        <v>6</v>
      </c>
      <c r="R153" s="19">
        <v>5</v>
      </c>
      <c r="S153" s="19">
        <v>5</v>
      </c>
      <c r="T153" s="19">
        <v>1</v>
      </c>
      <c r="U153" s="19">
        <v>4</v>
      </c>
      <c r="V153" s="19">
        <v>0</v>
      </c>
      <c r="W153" s="19">
        <v>2</v>
      </c>
      <c r="X153" s="19">
        <v>1</v>
      </c>
      <c r="Y153" s="19">
        <v>0</v>
      </c>
      <c r="Z153" s="19">
        <v>1</v>
      </c>
      <c r="AA153" s="19">
        <v>22</v>
      </c>
      <c r="AB153" s="19">
        <v>37</v>
      </c>
      <c r="AC153" s="19">
        <v>9.7100000000000009</v>
      </c>
      <c r="AD153" s="19">
        <v>2.7269999999999999</v>
      </c>
      <c r="AE153" s="19">
        <v>14.7</v>
      </c>
      <c r="AF153" s="19">
        <v>2.5</v>
      </c>
      <c r="AG153" s="19">
        <v>9.8000000000000007</v>
      </c>
      <c r="AH153" s="19">
        <v>4.9000000000000004</v>
      </c>
      <c r="AI153" s="19">
        <v>0.5</v>
      </c>
      <c r="AJ153" s="19" t="s">
        <v>37</v>
      </c>
      <c r="AK153" s="19" t="s">
        <v>711</v>
      </c>
      <c r="AL153" s="19" t="s">
        <v>838</v>
      </c>
      <c r="AM153" s="19" t="s">
        <v>824</v>
      </c>
      <c r="AN153" s="108" t="str">
        <f>IFERROR(VLOOKUP(B154,'MIN Salary 2024'!$A$1:$I$40,7,FALSE),"No salary data")</f>
        <v>No salary data</v>
      </c>
      <c r="AO153" s="1" t="e">
        <f t="shared" si="2"/>
        <v>#VALUE!</v>
      </c>
    </row>
    <row r="154" spans="1:41" x14ac:dyDescent="0.25">
      <c r="A154" s="19">
        <v>31</v>
      </c>
      <c r="B154" s="19" t="s">
        <v>712</v>
      </c>
      <c r="C154" s="19">
        <v>26</v>
      </c>
      <c r="D154" s="19" t="s">
        <v>37</v>
      </c>
      <c r="E154" s="19">
        <v>0.1</v>
      </c>
      <c r="F154" s="19">
        <v>0</v>
      </c>
      <c r="G154" s="19">
        <v>0</v>
      </c>
      <c r="H154" s="19"/>
      <c r="I154" s="19">
        <v>3</v>
      </c>
      <c r="J154" s="19">
        <v>1</v>
      </c>
      <c r="K154" s="19">
        <v>0</v>
      </c>
      <c r="L154" s="19">
        <v>0</v>
      </c>
      <c r="M154" s="19">
        <v>0</v>
      </c>
      <c r="N154" s="19">
        <v>0</v>
      </c>
      <c r="O154" s="19">
        <v>0</v>
      </c>
      <c r="P154" s="19">
        <v>3</v>
      </c>
      <c r="Q154" s="19">
        <v>2</v>
      </c>
      <c r="R154" s="19">
        <v>1</v>
      </c>
      <c r="S154" s="19">
        <v>1</v>
      </c>
      <c r="T154" s="19">
        <v>1</v>
      </c>
      <c r="U154" s="19">
        <v>2</v>
      </c>
      <c r="V154" s="19">
        <v>0</v>
      </c>
      <c r="W154" s="19">
        <v>5</v>
      </c>
      <c r="X154" s="19">
        <v>0</v>
      </c>
      <c r="Y154" s="19">
        <v>0</v>
      </c>
      <c r="Z154" s="19">
        <v>0</v>
      </c>
      <c r="AA154" s="19">
        <v>13</v>
      </c>
      <c r="AB154" s="19">
        <v>155</v>
      </c>
      <c r="AC154" s="19">
        <v>6.17</v>
      </c>
      <c r="AD154" s="19">
        <v>1.333</v>
      </c>
      <c r="AE154" s="19">
        <v>6</v>
      </c>
      <c r="AF154" s="19">
        <v>3</v>
      </c>
      <c r="AG154" s="19">
        <v>6</v>
      </c>
      <c r="AH154" s="19">
        <v>15</v>
      </c>
      <c r="AI154" s="19">
        <v>2.5</v>
      </c>
      <c r="AJ154" s="19" t="s">
        <v>37</v>
      </c>
      <c r="AK154" s="19" t="s">
        <v>713</v>
      </c>
      <c r="AL154" s="19" t="s">
        <v>838</v>
      </c>
      <c r="AM154" s="19" t="s">
        <v>824</v>
      </c>
      <c r="AN154" s="108">
        <f>IFERROR(VLOOKUP(B155,'MIN Salary 2024'!$A$1:$I$40,7,FALSE),"No salary data")</f>
        <v>1250000</v>
      </c>
      <c r="AO154" s="1">
        <f t="shared" si="2"/>
        <v>12500000</v>
      </c>
    </row>
    <row r="155" spans="1:41" hidden="1" x14ac:dyDescent="0.25">
      <c r="A155" s="19">
        <v>32</v>
      </c>
      <c r="B155" s="19" t="s">
        <v>714</v>
      </c>
      <c r="C155" s="19">
        <v>33</v>
      </c>
      <c r="D155" s="19" t="s">
        <v>37</v>
      </c>
      <c r="E155" s="19">
        <v>0.2</v>
      </c>
      <c r="F155" s="19">
        <v>0</v>
      </c>
      <c r="G155" s="19">
        <v>0</v>
      </c>
      <c r="H155" s="19"/>
      <c r="I155" s="19">
        <v>0</v>
      </c>
      <c r="J155" s="19">
        <v>3</v>
      </c>
      <c r="K155" s="19">
        <v>0</v>
      </c>
      <c r="L155" s="19">
        <v>2</v>
      </c>
      <c r="M155" s="19">
        <v>0</v>
      </c>
      <c r="N155" s="19">
        <v>0</v>
      </c>
      <c r="O155" s="19">
        <v>0</v>
      </c>
      <c r="P155" s="19">
        <v>2.1</v>
      </c>
      <c r="Q155" s="19">
        <v>1</v>
      </c>
      <c r="R155" s="19">
        <v>0</v>
      </c>
      <c r="S155" s="19">
        <v>0</v>
      </c>
      <c r="T155" s="19">
        <v>0</v>
      </c>
      <c r="U155" s="19">
        <v>0</v>
      </c>
      <c r="V155" s="19">
        <v>0</v>
      </c>
      <c r="W155" s="19">
        <v>2</v>
      </c>
      <c r="X155" s="19">
        <v>0</v>
      </c>
      <c r="Y155" s="19">
        <v>0</v>
      </c>
      <c r="Z155" s="19">
        <v>0</v>
      </c>
      <c r="AA155" s="19">
        <v>8</v>
      </c>
      <c r="AB155" s="19"/>
      <c r="AC155" s="19">
        <v>1.45</v>
      </c>
      <c r="AD155" s="19">
        <v>0.42899999999999999</v>
      </c>
      <c r="AE155" s="19">
        <v>3.9</v>
      </c>
      <c r="AF155" s="19">
        <v>0</v>
      </c>
      <c r="AG155" s="19">
        <v>0</v>
      </c>
      <c r="AH155" s="19">
        <v>7.7</v>
      </c>
      <c r="AI155" s="19"/>
      <c r="AJ155" s="19" t="s">
        <v>37</v>
      </c>
      <c r="AK155" s="19" t="s">
        <v>715</v>
      </c>
      <c r="AL155" s="19" t="s">
        <v>838</v>
      </c>
      <c r="AM155" s="19" t="s">
        <v>824</v>
      </c>
      <c r="AN155" s="108" t="str">
        <f>IFERROR(VLOOKUP(B156,'MIN Salary 2024'!$A$1:$I$40,7,FALSE),"No salary data")</f>
        <v>No salary data</v>
      </c>
      <c r="AO155" s="1" t="e">
        <f t="shared" si="2"/>
        <v>#VALUE!</v>
      </c>
    </row>
    <row r="156" spans="1:41" hidden="1" x14ac:dyDescent="0.25">
      <c r="A156" s="19"/>
      <c r="B156" s="19"/>
      <c r="C156" s="19"/>
      <c r="D156" s="19"/>
      <c r="E156" s="19"/>
      <c r="F156" s="19"/>
      <c r="G156" s="19"/>
      <c r="H156" s="19"/>
      <c r="I156" s="19"/>
      <c r="J156" s="19"/>
      <c r="K156" s="19"/>
      <c r="L156" s="19"/>
      <c r="M156" s="19"/>
      <c r="N156" s="19"/>
      <c r="O156" s="19"/>
      <c r="P156" s="19"/>
      <c r="Q156" s="19"/>
      <c r="R156" s="19"/>
      <c r="S156" s="19"/>
      <c r="T156" s="19"/>
      <c r="U156" s="19"/>
      <c r="V156" s="19"/>
      <c r="W156" s="19"/>
      <c r="X156" s="19"/>
      <c r="Y156" s="19"/>
      <c r="Z156" s="19"/>
      <c r="AA156" s="19"/>
      <c r="AB156" s="19"/>
      <c r="AC156" s="19"/>
      <c r="AD156" s="19"/>
      <c r="AE156" s="19"/>
      <c r="AF156" s="19"/>
      <c r="AG156" s="19"/>
      <c r="AH156" s="19"/>
      <c r="AI156" s="19"/>
      <c r="AJ156" s="19"/>
      <c r="AK156" s="19"/>
      <c r="AL156" s="19"/>
      <c r="AM156" s="19"/>
      <c r="AN156" s="108"/>
      <c r="AO156" s="1"/>
    </row>
    <row r="157" spans="1:41" hidden="1" x14ac:dyDescent="0.25">
      <c r="A157" s="18">
        <v>34</v>
      </c>
      <c r="B157" s="18" t="s">
        <v>717</v>
      </c>
      <c r="C157" s="18">
        <v>27</v>
      </c>
      <c r="D157" s="18" t="s">
        <v>37</v>
      </c>
      <c r="E157" s="18">
        <v>0.1</v>
      </c>
      <c r="F157" s="18">
        <v>0</v>
      </c>
      <c r="G157" s="18">
        <v>0</v>
      </c>
      <c r="H157" s="18"/>
      <c r="I157" s="18">
        <v>0</v>
      </c>
      <c r="J157" s="18">
        <v>2</v>
      </c>
      <c r="K157" s="18">
        <v>0</v>
      </c>
      <c r="L157" s="18">
        <v>2</v>
      </c>
      <c r="M157" s="18">
        <v>0</v>
      </c>
      <c r="N157" s="18">
        <v>0</v>
      </c>
      <c r="O157" s="18">
        <v>0</v>
      </c>
      <c r="P157" s="18">
        <v>1.1000000000000001</v>
      </c>
      <c r="Q157" s="18">
        <v>0</v>
      </c>
      <c r="R157" s="18">
        <v>0</v>
      </c>
      <c r="S157" s="18">
        <v>0</v>
      </c>
      <c r="T157" s="18">
        <v>0</v>
      </c>
      <c r="U157" s="18">
        <v>0</v>
      </c>
      <c r="V157" s="18">
        <v>0</v>
      </c>
      <c r="W157" s="18">
        <v>0</v>
      </c>
      <c r="X157" s="18">
        <v>0</v>
      </c>
      <c r="Y157" s="18">
        <v>0</v>
      </c>
      <c r="Z157" s="18">
        <v>0</v>
      </c>
      <c r="AA157" s="18">
        <v>4</v>
      </c>
      <c r="AB157" s="18"/>
      <c r="AC157" s="18">
        <v>3.17</v>
      </c>
      <c r="AD157" s="18">
        <v>0</v>
      </c>
      <c r="AE157" s="18">
        <v>0</v>
      </c>
      <c r="AF157" s="18">
        <v>0</v>
      </c>
      <c r="AG157" s="18">
        <v>0</v>
      </c>
      <c r="AH157" s="18">
        <v>0</v>
      </c>
      <c r="AI157" s="18"/>
      <c r="AJ157" s="18" t="s">
        <v>163</v>
      </c>
      <c r="AK157" s="18" t="s">
        <v>624</v>
      </c>
      <c r="AL157" s="18" t="s">
        <v>838</v>
      </c>
      <c r="AM157" s="18" t="s">
        <v>824</v>
      </c>
      <c r="AN157" s="117" t="str">
        <f>IFERROR(VLOOKUP(B158,'MIN Salary 2024'!$A$1:$I$40,7,FALSE),"No salary data")</f>
        <v>No salary data</v>
      </c>
      <c r="AO157" s="1" t="e">
        <f t="shared" si="2"/>
        <v>#VALUE!</v>
      </c>
    </row>
  </sheetData>
  <conditionalFormatting sqref="AO155:AO156">
    <cfRule type="top10" dxfId="45" priority="2" bottom="1" rank="3"/>
    <cfRule type="top10" dxfId="44" priority="3" rank="3"/>
  </conditionalFormatting>
  <conditionalFormatting sqref="AO2:AO154">
    <cfRule type="top10" dxfId="43" priority="1" rank="10"/>
  </conditionalFormatting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8E02C8-0032-465D-8E79-5BD170187A2F}">
  <sheetPr codeName="Sheet17"/>
  <dimension ref="A1:G6"/>
  <sheetViews>
    <sheetView topLeftCell="E1" workbookViewId="0">
      <selection activeCell="G18" sqref="G18"/>
    </sheetView>
  </sheetViews>
  <sheetFormatPr defaultRowHeight="15" x14ac:dyDescent="0.25"/>
  <cols>
    <col min="2" max="2" width="12.42578125" bestFit="1" customWidth="1"/>
    <col min="3" max="3" width="14.140625" bestFit="1" customWidth="1"/>
    <col min="4" max="4" width="12.28515625" bestFit="1" customWidth="1"/>
    <col min="5" max="5" width="13.140625" bestFit="1" customWidth="1"/>
    <col min="6" max="6" width="10.42578125" bestFit="1" customWidth="1"/>
    <col min="7" max="7" width="11.140625" bestFit="1" customWidth="1"/>
  </cols>
  <sheetData>
    <row r="1" spans="1:7" x14ac:dyDescent="0.25">
      <c r="A1" t="s">
        <v>817</v>
      </c>
      <c r="B1" t="s">
        <v>857</v>
      </c>
      <c r="C1" t="s">
        <v>858</v>
      </c>
      <c r="D1" t="s">
        <v>859</v>
      </c>
      <c r="E1" t="s">
        <v>860</v>
      </c>
      <c r="F1" t="s">
        <v>861</v>
      </c>
      <c r="G1" t="s">
        <v>862</v>
      </c>
    </row>
    <row r="2" spans="1:7" x14ac:dyDescent="0.25">
      <c r="A2" t="s">
        <v>820</v>
      </c>
      <c r="B2" s="1">
        <f t="shared" ref="B2:C6" si="0">D2/F2</f>
        <v>977408.07407407404</v>
      </c>
      <c r="C2" s="13">
        <f t="shared" si="0"/>
        <v>-18652730.909090906</v>
      </c>
      <c r="D2" s="1">
        <v>13195009</v>
      </c>
      <c r="E2" s="1">
        <v>41036008</v>
      </c>
      <c r="F2">
        <v>13.5</v>
      </c>
      <c r="G2">
        <v>-2.2000000000000002</v>
      </c>
    </row>
    <row r="3" spans="1:7" x14ac:dyDescent="0.25">
      <c r="A3" t="s">
        <v>821</v>
      </c>
      <c r="B3" s="13">
        <f t="shared" si="0"/>
        <v>435079.43396226416</v>
      </c>
      <c r="C3" s="13">
        <f t="shared" si="0"/>
        <v>1559313.2227488151</v>
      </c>
      <c r="D3" s="1">
        <v>6917763</v>
      </c>
      <c r="E3" s="1">
        <v>32901509</v>
      </c>
      <c r="F3">
        <v>15.9</v>
      </c>
      <c r="G3">
        <v>21.1</v>
      </c>
    </row>
    <row r="4" spans="1:7" x14ac:dyDescent="0.25">
      <c r="A4" t="s">
        <v>822</v>
      </c>
      <c r="B4" s="13">
        <f t="shared" si="0"/>
        <v>1320829.1712707181</v>
      </c>
      <c r="C4" s="13">
        <f t="shared" si="0"/>
        <v>1881580.8</v>
      </c>
      <c r="D4" s="1">
        <v>23907008</v>
      </c>
      <c r="E4" s="1">
        <v>32927664</v>
      </c>
      <c r="F4">
        <v>18.100000000000001</v>
      </c>
      <c r="G4">
        <v>17.5</v>
      </c>
    </row>
    <row r="5" spans="1:7" x14ac:dyDescent="0.25">
      <c r="A5" t="s">
        <v>823</v>
      </c>
      <c r="B5" s="13">
        <f t="shared" si="0"/>
        <v>2858648.6602870817</v>
      </c>
      <c r="C5" s="13">
        <f t="shared" si="0"/>
        <v>1356143.5885167464</v>
      </c>
      <c r="D5" s="1">
        <v>59745757</v>
      </c>
      <c r="E5" s="1">
        <v>28343401</v>
      </c>
      <c r="F5">
        <v>20.9</v>
      </c>
      <c r="G5">
        <v>20.9</v>
      </c>
    </row>
    <row r="6" spans="1:7" x14ac:dyDescent="0.25">
      <c r="A6" t="s">
        <v>824</v>
      </c>
      <c r="B6" s="13">
        <f t="shared" si="0"/>
        <v>1578418.510638298</v>
      </c>
      <c r="C6" s="13">
        <f t="shared" si="0"/>
        <v>3595065.789473684</v>
      </c>
      <c r="D6" s="1">
        <v>22255701</v>
      </c>
      <c r="E6" s="1">
        <v>61475625</v>
      </c>
      <c r="F6">
        <v>14.1</v>
      </c>
      <c r="G6">
        <v>17.100000000000001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9C0718-75D8-4D47-B5B1-1AA2966E8605}">
  <sheetPr codeName="Sheet20"/>
  <dimension ref="A1:AJ24"/>
  <sheetViews>
    <sheetView tabSelected="1" zoomScale="89" workbookViewId="0">
      <selection activeCell="B1" sqref="B1"/>
    </sheetView>
  </sheetViews>
  <sheetFormatPr defaultRowHeight="15" x14ac:dyDescent="0.25"/>
  <cols>
    <col min="1" max="1" width="21.140625" bestFit="1" customWidth="1"/>
    <col min="2" max="2" width="21.42578125" bestFit="1" customWidth="1"/>
    <col min="3" max="3" width="22.42578125" bestFit="1" customWidth="1"/>
  </cols>
  <sheetData>
    <row r="1" spans="1:36" x14ac:dyDescent="0.25">
      <c r="A1" t="s">
        <v>855</v>
      </c>
      <c r="B1" t="s">
        <v>822</v>
      </c>
      <c r="AJ1" t="s">
        <v>856</v>
      </c>
    </row>
    <row r="2" spans="1:36" x14ac:dyDescent="0.25">
      <c r="AJ2" t="s">
        <v>820</v>
      </c>
    </row>
    <row r="3" spans="1:36" x14ac:dyDescent="0.25">
      <c r="A3" t="s">
        <v>863</v>
      </c>
      <c r="B3" s="1">
        <f>B11+B12</f>
        <v>56834672</v>
      </c>
      <c r="AJ3" t="s">
        <v>821</v>
      </c>
    </row>
    <row r="4" spans="1:36" x14ac:dyDescent="0.25">
      <c r="A4" t="s">
        <v>864</v>
      </c>
      <c r="B4">
        <v>15</v>
      </c>
      <c r="AJ4" t="s">
        <v>822</v>
      </c>
    </row>
    <row r="5" spans="1:36" x14ac:dyDescent="0.25">
      <c r="A5" t="s">
        <v>865</v>
      </c>
      <c r="B5">
        <v>15</v>
      </c>
      <c r="AJ5" t="s">
        <v>823</v>
      </c>
    </row>
    <row r="6" spans="1:36" x14ac:dyDescent="0.25">
      <c r="AJ6" t="s">
        <v>824</v>
      </c>
    </row>
    <row r="7" spans="1:36" x14ac:dyDescent="0.25">
      <c r="A7" t="s">
        <v>866</v>
      </c>
      <c r="B7" t="s">
        <v>841</v>
      </c>
    </row>
    <row r="8" spans="1:36" x14ac:dyDescent="0.25">
      <c r="A8" t="s">
        <v>867</v>
      </c>
      <c r="B8" s="126">
        <f>VLOOKUP(B1, TeamData!A1:G6, 2, FALSE)</f>
        <v>1320829.1712707181</v>
      </c>
      <c r="C8" s="13"/>
    </row>
    <row r="9" spans="1:36" x14ac:dyDescent="0.25">
      <c r="A9" t="s">
        <v>868</v>
      </c>
      <c r="B9" s="126">
        <f>VLOOKUP(B1,TeamData!A1:G6,3,FALSE)</f>
        <v>1881580.8</v>
      </c>
      <c r="C9" s="13"/>
    </row>
    <row r="11" spans="1:36" x14ac:dyDescent="0.25">
      <c r="A11" t="s">
        <v>869</v>
      </c>
      <c r="B11" s="126">
        <f>VLOOKUP(B1,TeamData!A1:G6,4,FALSE)</f>
        <v>23907008</v>
      </c>
    </row>
    <row r="12" spans="1:36" x14ac:dyDescent="0.25">
      <c r="A12" t="s">
        <v>870</v>
      </c>
      <c r="B12" s="126">
        <f>VLOOKUP(B1,TeamData!A1:G6,5,FALSE)</f>
        <v>32927664</v>
      </c>
    </row>
    <row r="13" spans="1:36" x14ac:dyDescent="0.25">
      <c r="A13" t="s">
        <v>871</v>
      </c>
      <c r="B13">
        <f>VLOOKUP(B1,TeamData!A1:G6,6,FALSE)</f>
        <v>18.100000000000001</v>
      </c>
    </row>
    <row r="14" spans="1:36" x14ac:dyDescent="0.25">
      <c r="A14" t="s">
        <v>872</v>
      </c>
      <c r="B14">
        <f>VLOOKUP(B1,TeamData!A1:G6,7,FALSE)</f>
        <v>17.5</v>
      </c>
    </row>
    <row r="15" spans="1:36" x14ac:dyDescent="0.25">
      <c r="A15" t="s">
        <v>873</v>
      </c>
      <c r="B15">
        <f>B13+B14</f>
        <v>35.6</v>
      </c>
    </row>
    <row r="17" spans="1:2" x14ac:dyDescent="0.25">
      <c r="A17" s="118" t="s">
        <v>874</v>
      </c>
    </row>
    <row r="18" spans="1:2" x14ac:dyDescent="0.25">
      <c r="A18" s="127" t="s">
        <v>875</v>
      </c>
      <c r="B18" s="1">
        <v>28610960.000001322</v>
      </c>
    </row>
    <row r="19" spans="1:2" x14ac:dyDescent="0.25">
      <c r="A19" s="127" t="s">
        <v>876</v>
      </c>
      <c r="B19" s="1">
        <f>TotBudget-PitcherBudget</f>
        <v>28223711.999998678</v>
      </c>
    </row>
    <row r="21" spans="1:2" x14ac:dyDescent="0.25">
      <c r="A21" s="118" t="s">
        <v>877</v>
      </c>
    </row>
    <row r="22" spans="1:2" x14ac:dyDescent="0.25">
      <c r="A22" s="127" t="s">
        <v>878</v>
      </c>
      <c r="B22" s="128">
        <f>B18/B8</f>
        <v>21.661362894094651</v>
      </c>
    </row>
    <row r="23" spans="1:2" x14ac:dyDescent="0.25">
      <c r="A23" s="127" t="s">
        <v>879</v>
      </c>
      <c r="B23" s="128">
        <f>B19/B9</f>
        <v>14.999999999999297</v>
      </c>
    </row>
    <row r="24" spans="1:2" x14ac:dyDescent="0.25">
      <c r="A24" s="127" t="s">
        <v>880</v>
      </c>
      <c r="B24" s="128">
        <f>B22+B23</f>
        <v>36.661362894093948</v>
      </c>
    </row>
  </sheetData>
  <dataValidations count="1">
    <dataValidation type="list" allowBlank="1" showInputMessage="1" showErrorMessage="1" sqref="B1" xr:uid="{5CD96D9C-B8DB-4307-AC4F-CB9FBA18D863}">
      <formula1>$AJ$2:$AJ$6</formula1>
    </dataValidation>
  </dataValidation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A45EE0-AB90-4B48-AD3D-11569EA0A6C5}">
  <sheetPr codeName="Sheet21"/>
  <dimension ref="A1:E7"/>
  <sheetViews>
    <sheetView workbookViewId="0">
      <selection activeCell="G18" sqref="G18"/>
    </sheetView>
  </sheetViews>
  <sheetFormatPr defaultRowHeight="15" x14ac:dyDescent="0.25"/>
  <cols>
    <col min="1" max="1" width="17.7109375" bestFit="1" customWidth="1"/>
    <col min="2" max="2" width="13.42578125" bestFit="1" customWidth="1"/>
    <col min="3" max="3" width="15.5703125" bestFit="1" customWidth="1"/>
    <col min="4" max="4" width="15.42578125" bestFit="1" customWidth="1"/>
    <col min="5" max="5" width="13.140625" bestFit="1" customWidth="1"/>
    <col min="6" max="6" width="23.28515625" bestFit="1" customWidth="1"/>
    <col min="7" max="7" width="23.42578125" bestFit="1" customWidth="1"/>
  </cols>
  <sheetData>
    <row r="1" spans="1:5" x14ac:dyDescent="0.25">
      <c r="A1" t="s">
        <v>881</v>
      </c>
    </row>
    <row r="2" spans="1:5" x14ac:dyDescent="0.25">
      <c r="A2" t="s">
        <v>817</v>
      </c>
      <c r="B2" t="s">
        <v>882</v>
      </c>
      <c r="C2" t="s">
        <v>883</v>
      </c>
      <c r="D2" t="s">
        <v>884</v>
      </c>
      <c r="E2" t="s">
        <v>885</v>
      </c>
    </row>
    <row r="3" spans="1:5" x14ac:dyDescent="0.25">
      <c r="A3" t="s">
        <v>820</v>
      </c>
      <c r="B3">
        <v>11.3</v>
      </c>
      <c r="C3">
        <v>27.9</v>
      </c>
      <c r="D3">
        <f>C3-B3</f>
        <v>16.599999999999998</v>
      </c>
      <c r="E3" s="129">
        <f>D3/B3</f>
        <v>1.469026548672566</v>
      </c>
    </row>
    <row r="4" spans="1:5" x14ac:dyDescent="0.25">
      <c r="A4" t="s">
        <v>821</v>
      </c>
      <c r="B4">
        <v>37</v>
      </c>
      <c r="C4">
        <v>72.900000000000006</v>
      </c>
      <c r="D4">
        <f>C4-B4</f>
        <v>35.900000000000006</v>
      </c>
      <c r="E4" s="129">
        <f>D4/B4</f>
        <v>0.97027027027027046</v>
      </c>
    </row>
    <row r="5" spans="1:5" x14ac:dyDescent="0.25">
      <c r="A5" t="s">
        <v>822</v>
      </c>
      <c r="B5">
        <v>35.6</v>
      </c>
      <c r="C5">
        <v>36.700000000000003</v>
      </c>
      <c r="D5">
        <f>C5-B5</f>
        <v>1.1000000000000014</v>
      </c>
      <c r="E5" s="129">
        <f>D5/B5</f>
        <v>3.0898876404494419E-2</v>
      </c>
    </row>
    <row r="6" spans="1:5" x14ac:dyDescent="0.25">
      <c r="A6" t="s">
        <v>823</v>
      </c>
      <c r="B6">
        <v>41.8</v>
      </c>
      <c r="C6">
        <v>53.9</v>
      </c>
      <c r="D6">
        <f>C6-B6</f>
        <v>12.100000000000001</v>
      </c>
      <c r="E6" s="129">
        <f t="shared" ref="E6:E7" si="0">D6/B6</f>
        <v>0.28947368421052638</v>
      </c>
    </row>
    <row r="7" spans="1:5" x14ac:dyDescent="0.25">
      <c r="A7" t="s">
        <v>824</v>
      </c>
      <c r="B7">
        <v>31.2</v>
      </c>
      <c r="C7">
        <v>33.5</v>
      </c>
      <c r="D7">
        <f>C7-B7</f>
        <v>2.3000000000000007</v>
      </c>
      <c r="E7" s="129">
        <f t="shared" si="0"/>
        <v>7.3717948717948747E-2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79E8977-6645-4772-B642-B39040ED1E5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21</vt:i4>
      </vt:variant>
      <vt:variant>
        <vt:lpstr>Charts</vt:lpstr>
      </vt:variant>
      <vt:variant>
        <vt:i4>6</vt:i4>
      </vt:variant>
      <vt:variant>
        <vt:lpstr>Named Ranges</vt:lpstr>
      </vt:variant>
      <vt:variant>
        <vt:i4>6</vt:i4>
      </vt:variant>
    </vt:vector>
  </HeadingPairs>
  <TitlesOfParts>
    <vt:vector size="33" baseType="lpstr">
      <vt:lpstr>CWS 2024 Batting</vt:lpstr>
      <vt:lpstr>CWS 2024 Pitching</vt:lpstr>
      <vt:lpstr>CWS Salary 2024</vt:lpstr>
      <vt:lpstr>CLE 2024 Batting</vt:lpstr>
      <vt:lpstr>CLE 2024 Pitching</vt:lpstr>
      <vt:lpstr>CLE Salary 2024</vt:lpstr>
      <vt:lpstr>DET 2024 Batting</vt:lpstr>
      <vt:lpstr>DET 2024 Pitching</vt:lpstr>
      <vt:lpstr>DET Salary 2024</vt:lpstr>
      <vt:lpstr>KC 2024 Batting</vt:lpstr>
      <vt:lpstr>KC 2024 Pitching</vt:lpstr>
      <vt:lpstr>KC Salary 2024</vt:lpstr>
      <vt:lpstr>MIN 2024 Batting</vt:lpstr>
      <vt:lpstr>MIN 2024 Pitching</vt:lpstr>
      <vt:lpstr>MIN Salary 2024</vt:lpstr>
      <vt:lpstr>AL Central Payroll</vt:lpstr>
      <vt:lpstr>PositionPlayer Data</vt:lpstr>
      <vt:lpstr>Pitcher Data</vt:lpstr>
      <vt:lpstr>TeamData</vt:lpstr>
      <vt:lpstr>Budget Optimizer</vt:lpstr>
      <vt:lpstr>Optimization Results</vt:lpstr>
      <vt:lpstr>PositionPlayer Dash</vt:lpstr>
      <vt:lpstr>PitcherDash</vt:lpstr>
      <vt:lpstr>Team Comparison $WAR</vt:lpstr>
      <vt:lpstr>PP vs P War</vt:lpstr>
      <vt:lpstr>OptimizationChart</vt:lpstr>
      <vt:lpstr>OptimizationPie</vt:lpstr>
      <vt:lpstr>MinPitchWAR</vt:lpstr>
      <vt:lpstr>MinPosWAR</vt:lpstr>
      <vt:lpstr>PitcherBudget</vt:lpstr>
      <vt:lpstr>PositionBudget</vt:lpstr>
      <vt:lpstr>TotalWAR</vt:lpstr>
      <vt:lpstr>TotBudget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Maggie Murphy</dc:creator>
  <cp:lastModifiedBy>Maggie Murphy</cp:lastModifiedBy>
  <dcterms:created xsi:type="dcterms:W3CDTF">2025-03-24T17:03:53Z</dcterms:created>
  <dcterms:modified xsi:type="dcterms:W3CDTF">2025-04-14T14:08:35Z</dcterms:modified>
</cp:coreProperties>
</file>